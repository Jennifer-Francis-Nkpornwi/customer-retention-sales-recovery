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tables/table7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fd3d6f4a9d9b42/Desktop/Customer retention analysis/"/>
    </mc:Choice>
  </mc:AlternateContent>
  <xr:revisionPtr revIDLastSave="43" documentId="13_ncr:1_{16D4BABB-D0D4-4B3A-9C7A-05013E6C3576}" xr6:coauthVersionLast="47" xr6:coauthVersionMax="47" xr10:uidLastSave="{DF54E543-CDC9-421E-9B7D-C9552CD55BC6}"/>
  <bookViews>
    <workbookView xWindow="-110" yWindow="-110" windowWidth="19420" windowHeight="10300" xr2:uid="{D8E19969-24A1-4A7D-9A6A-3273DD15397A}"/>
  </bookViews>
  <sheets>
    <sheet name="Dashboard" sheetId="25" r:id="rId1"/>
    <sheet name="Chart Data" sheetId="27" r:id="rId2"/>
    <sheet name="Recovery Analysis" sheetId="23" r:id="rId3"/>
    <sheet name="Validation pivot" sheetId="21" r:id="rId4"/>
    <sheet name="Validation Tracker" sheetId="22" r:id="rId5"/>
    <sheet name="KPI" sheetId="26" r:id="rId6"/>
    <sheet name="Anonymized data" sheetId="9" r:id="rId7"/>
  </sheets>
  <definedNames>
    <definedName name="_xlnm._FilterDatabase" localSheetId="4" hidden="1">'Validation Tracker'!$A$2:$G$95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4" i="22" l="1"/>
  <c r="A30" i="23"/>
  <c r="B30" i="23" s="1"/>
  <c r="A29" i="23"/>
  <c r="B29" i="23" s="1"/>
  <c r="A31" i="23"/>
  <c r="B31" i="23" s="1"/>
  <c r="A32" i="23"/>
  <c r="B32" i="23" s="1"/>
  <c r="A33" i="23"/>
  <c r="B33" i="23" s="1"/>
  <c r="A28" i="23"/>
  <c r="B28" i="23" s="1"/>
  <c r="K1" i="25"/>
  <c r="B4" i="27"/>
  <c r="G22" i="23"/>
  <c r="H5" i="25"/>
  <c r="E5" i="25"/>
  <c r="H8" i="25"/>
  <c r="E8" i="25"/>
  <c r="B8" i="25"/>
  <c r="B4" i="26"/>
  <c r="B5" i="26" s="1"/>
  <c r="B3" i="26"/>
  <c r="B2" i="26"/>
  <c r="B5" i="25"/>
  <c r="B7" i="26"/>
  <c r="B6" i="26"/>
  <c r="K51" i="22"/>
  <c r="K50" i="22"/>
  <c r="K48" i="22"/>
  <c r="G3" i="22"/>
  <c r="G88" i="22"/>
  <c r="G4" i="22"/>
  <c r="G81" i="22"/>
  <c r="G33" i="22"/>
  <c r="G85" i="22"/>
  <c r="G28" i="22"/>
  <c r="G87" i="22"/>
  <c r="G36" i="22"/>
  <c r="G94" i="22"/>
  <c r="G27" i="22"/>
  <c r="G30" i="22"/>
  <c r="G37" i="22"/>
  <c r="G26" i="22"/>
  <c r="G5" i="22"/>
  <c r="G34" i="22"/>
  <c r="G79" i="22"/>
  <c r="G6" i="22"/>
  <c r="G84" i="22"/>
  <c r="G31" i="22"/>
  <c r="G82" i="22"/>
  <c r="G40" i="22"/>
  <c r="G38" i="22"/>
  <c r="G39" i="22"/>
  <c r="G41" i="22"/>
  <c r="G7" i="22"/>
  <c r="G89" i="22"/>
  <c r="G32" i="22"/>
  <c r="G90" i="22"/>
  <c r="G8" i="22"/>
  <c r="G42" i="22"/>
  <c r="G9" i="22"/>
  <c r="G10" i="22"/>
  <c r="G83" i="22"/>
  <c r="G43" i="22"/>
  <c r="G35" i="22"/>
  <c r="G11" i="22"/>
  <c r="G44" i="22"/>
  <c r="G12" i="22"/>
  <c r="G29" i="22"/>
  <c r="G13" i="22"/>
  <c r="G80" i="22"/>
  <c r="G14" i="22"/>
  <c r="G15" i="22"/>
  <c r="G45" i="22"/>
  <c r="G16" i="22"/>
  <c r="G17" i="22"/>
  <c r="G18" i="22"/>
  <c r="G93" i="22"/>
  <c r="G91" i="22"/>
  <c r="G19" i="22"/>
  <c r="G20" i="22"/>
  <c r="G92" i="22"/>
  <c r="G21" i="22"/>
  <c r="G22" i="22"/>
  <c r="G46" i="22"/>
  <c r="G23" i="22"/>
  <c r="G24" i="22"/>
  <c r="G25" i="22"/>
  <c r="G95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86" i="22"/>
  <c r="E3" i="22"/>
  <c r="E88" i="22"/>
  <c r="E4" i="22"/>
  <c r="E81" i="22"/>
  <c r="E33" i="22"/>
  <c r="E85" i="22"/>
  <c r="E28" i="22"/>
  <c r="E87" i="22"/>
  <c r="E36" i="22"/>
  <c r="E94" i="22"/>
  <c r="E27" i="22"/>
  <c r="E30" i="22"/>
  <c r="E37" i="22"/>
  <c r="E26" i="22"/>
  <c r="E5" i="22"/>
  <c r="E34" i="22"/>
  <c r="E79" i="22"/>
  <c r="E6" i="22"/>
  <c r="E84" i="22"/>
  <c r="E31" i="22"/>
  <c r="E82" i="22"/>
  <c r="E40" i="22"/>
  <c r="E38" i="22"/>
  <c r="E39" i="22"/>
  <c r="E41" i="22"/>
  <c r="E7" i="22"/>
  <c r="E89" i="22"/>
  <c r="E32" i="22"/>
  <c r="E90" i="22"/>
  <c r="E8" i="22"/>
  <c r="E42" i="22"/>
  <c r="E9" i="22"/>
  <c r="E10" i="22"/>
  <c r="E83" i="22"/>
  <c r="E43" i="22"/>
  <c r="E35" i="22"/>
  <c r="E11" i="22"/>
  <c r="E44" i="22"/>
  <c r="E12" i="22"/>
  <c r="E29" i="22"/>
  <c r="E13" i="22"/>
  <c r="E80" i="22"/>
  <c r="E14" i="22"/>
  <c r="E15" i="22"/>
  <c r="E45" i="22"/>
  <c r="E16" i="22"/>
  <c r="E17" i="22"/>
  <c r="E18" i="22"/>
  <c r="E93" i="22"/>
  <c r="E91" i="22"/>
  <c r="E19" i="22"/>
  <c r="E20" i="22"/>
  <c r="E92" i="22"/>
  <c r="E21" i="22"/>
  <c r="E22" i="22"/>
  <c r="E46" i="22"/>
  <c r="E23" i="22"/>
  <c r="E24" i="22"/>
  <c r="E25" i="22"/>
  <c r="E95" i="22"/>
  <c r="E47" i="22"/>
  <c r="E48" i="22"/>
  <c r="E49" i="22"/>
  <c r="E50" i="22"/>
  <c r="E51" i="22"/>
  <c r="E52" i="22"/>
  <c r="E53" i="22"/>
  <c r="E54" i="22"/>
  <c r="E55" i="22"/>
  <c r="E56" i="22"/>
  <c r="E57" i="22"/>
  <c r="E58" i="22"/>
  <c r="E59" i="22"/>
  <c r="E60" i="22"/>
  <c r="E61" i="22"/>
  <c r="E62" i="22"/>
  <c r="E63" i="22"/>
  <c r="E64" i="22"/>
  <c r="E65" i="22"/>
  <c r="E66" i="22"/>
  <c r="E67" i="22"/>
  <c r="E68" i="22"/>
  <c r="E69" i="22"/>
  <c r="E70" i="22"/>
  <c r="E71" i="22"/>
  <c r="E72" i="22"/>
  <c r="E73" i="22"/>
  <c r="E74" i="22"/>
  <c r="E75" i="22"/>
  <c r="E76" i="22"/>
  <c r="E77" i="22"/>
  <c r="E78" i="22"/>
  <c r="E86" i="22"/>
  <c r="F3" i="22"/>
  <c r="F88" i="22"/>
  <c r="F4" i="22"/>
  <c r="F81" i="22"/>
  <c r="F33" i="22"/>
  <c r="F85" i="22"/>
  <c r="F28" i="22"/>
  <c r="F87" i="22"/>
  <c r="F36" i="22"/>
  <c r="F94" i="22"/>
  <c r="F27" i="22"/>
  <c r="F30" i="22"/>
  <c r="F37" i="22"/>
  <c r="F26" i="22"/>
  <c r="F5" i="22"/>
  <c r="F34" i="22"/>
  <c r="F79" i="22"/>
  <c r="F6" i="22"/>
  <c r="F84" i="22"/>
  <c r="F31" i="22"/>
  <c r="F82" i="22"/>
  <c r="F40" i="22"/>
  <c r="F38" i="22"/>
  <c r="F39" i="22"/>
  <c r="F41" i="22"/>
  <c r="F7" i="22"/>
  <c r="F89" i="22"/>
  <c r="F32" i="22"/>
  <c r="F90" i="22"/>
  <c r="F8" i="22"/>
  <c r="F42" i="22"/>
  <c r="F9" i="22"/>
  <c r="F10" i="22"/>
  <c r="F83" i="22"/>
  <c r="F43" i="22"/>
  <c r="F35" i="22"/>
  <c r="F11" i="22"/>
  <c r="F44" i="22"/>
  <c r="F12" i="22"/>
  <c r="F29" i="22"/>
  <c r="F13" i="22"/>
  <c r="F80" i="22"/>
  <c r="F14" i="22"/>
  <c r="F15" i="22"/>
  <c r="F45" i="22"/>
  <c r="F16" i="22"/>
  <c r="F17" i="22"/>
  <c r="F18" i="22"/>
  <c r="F93" i="22"/>
  <c r="F91" i="22"/>
  <c r="F19" i="22"/>
  <c r="F20" i="22"/>
  <c r="F92" i="22"/>
  <c r="F21" i="22"/>
  <c r="F22" i="22"/>
  <c r="F46" i="22"/>
  <c r="F23" i="22"/>
  <c r="F24" i="22"/>
  <c r="F25" i="22"/>
  <c r="F95" i="22"/>
  <c r="F47" i="22"/>
  <c r="F48" i="22"/>
  <c r="F49" i="22"/>
  <c r="F50" i="22"/>
  <c r="F51" i="22"/>
  <c r="F52" i="22"/>
  <c r="F53" i="22"/>
  <c r="F54" i="22"/>
  <c r="F55" i="22"/>
  <c r="F56" i="22"/>
  <c r="F57" i="22"/>
  <c r="F58" i="22"/>
  <c r="F59" i="22"/>
  <c r="F60" i="22"/>
  <c r="F61" i="22"/>
  <c r="F62" i="22"/>
  <c r="F63" i="22"/>
  <c r="F64" i="22"/>
  <c r="F65" i="22"/>
  <c r="F66" i="22"/>
  <c r="F67" i="22"/>
  <c r="F68" i="22"/>
  <c r="F69" i="22"/>
  <c r="F70" i="22"/>
  <c r="F71" i="22"/>
  <c r="F72" i="22"/>
  <c r="F73" i="22"/>
  <c r="F74" i="22"/>
  <c r="F75" i="22"/>
  <c r="F76" i="22"/>
  <c r="F77" i="22"/>
  <c r="F78" i="22"/>
  <c r="F86" i="2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16C442-EFB2-43CC-9F91-13852617C0B8}" keepAlive="1" name="Query - PHC client" description="Connection to the 'PHC client' query in the workbook." type="5" refreshedVersion="0" background="1">
    <dbPr connection="Provider=Microsoft.Mashup.OleDb.1;Data Source=$Workbook$;Location=&quot;PHC client&quot;;Extended Properties=&quot;&quot;" command="SELECT * FROM [PHC client]"/>
  </connection>
  <connection id="2" xr16:uid="{9666364F-063C-4ADD-8C79-60BED5B0FE5F}" keepAlive="1" name="Query - PHC_clients" description="Connection to the 'PHC_clients' query in the workbook." type="5" refreshedVersion="0" background="1">
    <dbPr connection="Provider=Microsoft.Mashup.OleDb.1;Data Source=$Workbook$;Location=PHC_clients;Extended Properties=&quot;&quot;" command="SELECT * FROM [PHC_clients]"/>
  </connection>
  <connection id="3" xr16:uid="{59AD2CAD-3F4E-4982-B243-54D75AEE8E6B}" keepAlive="1" name="Query - PHC_Q1" description="Connection to the 'PHC_Q1' query in the workbook." type="5" refreshedVersion="0" background="1">
    <dbPr connection="Provider=Microsoft.Mashup.OleDb.1;Data Source=$Workbook$;Location=PHC_Q1;Extended Properties=&quot;&quot;" command="SELECT * FROM [PHC_Q1]"/>
  </connection>
  <connection id="4" xr16:uid="{7955A7D9-503E-41DF-90B2-85249ACFBD68}" keepAlive="1" name="Query - PHC_Q1_cleaned" description="Connection to the 'PHC_Q1_cleaned' query in the workbook." type="5" refreshedVersion="8" background="1" saveData="1">
    <dbPr connection="Provider=Microsoft.Mashup.OleDb.1;Data Source=$Workbook$;Location=PHC_Q1_cleaned;Extended Properties=&quot;&quot;" command="SELECT * FROM [PHC_Q1_cleaned]"/>
  </connection>
  <connection id="5" xr16:uid="{A276DB27-82B4-42D8-A3FD-625B3C69B285}" keepAlive="1" name="Query - PHC_Q1_cleaned (2)" description="Connection to the 'PHC_Q1_cleaned (2)' query in the workbook." type="5" refreshedVersion="8" background="1" saveData="1">
    <dbPr connection="Provider=Microsoft.Mashup.OleDb.1;Data Source=$Workbook$;Location=&quot;PHC_Q1_cleaned (2)&quot;;Extended Properties=&quot;&quot;" command="SELECT * FROM [PHC_Q1_cleaned (2)]"/>
  </connection>
  <connection id="6" xr16:uid="{6B4349C3-E825-4BA6-AD0E-665762928DA3}" keepAlive="1" name="Query - PHC_Q2_Orders" description="Connection to the 'PHC_Q2_Orders' query in the workbook." type="5" refreshedVersion="8" background="1" saveData="1">
    <dbPr connection="Provider=Microsoft.Mashup.OleDb.1;Data Source=$Workbook$;Location=PHC_Q2_Orders;Extended Properties=&quot;&quot;" command="SELECT * FROM [PHC_Q2_Orders]"/>
  </connection>
  <connection id="7" xr16:uid="{72A85EBE-9763-4E8D-819B-C76FF2A1BF86}" keepAlive="1" name="Query - Q2 data" description="Connection to the 'Q2 data' query in the workbook." type="5" refreshedVersion="0" background="1">
    <dbPr connection="Provider=Microsoft.Mashup.OleDb.1;Data Source=$Workbook$;Location=&quot;Q2 data&quot;;Extended Properties=&quot;&quot;" command="SELECT * FROM [Q2 data]"/>
  </connection>
</connections>
</file>

<file path=xl/sharedStrings.xml><?xml version="1.0" encoding="utf-8"?>
<sst xmlns="http://schemas.openxmlformats.org/spreadsheetml/2006/main" count="6024" uniqueCount="1690">
  <si>
    <t>Order Id</t>
  </si>
  <si>
    <t>Quarter</t>
  </si>
  <si>
    <t>Q1</t>
  </si>
  <si>
    <t>Q2</t>
  </si>
  <si>
    <t>Q3</t>
  </si>
  <si>
    <t>Total volume at Risk</t>
  </si>
  <si>
    <t>Stable / Active</t>
  </si>
  <si>
    <t>Recovered in Q3</t>
  </si>
  <si>
    <t>% Volume Lost</t>
  </si>
  <si>
    <t>Portfolio Parent customer Code</t>
  </si>
  <si>
    <t>PA-001</t>
  </si>
  <si>
    <t>PA-002</t>
  </si>
  <si>
    <t>PA-003</t>
  </si>
  <si>
    <t>PA-004</t>
  </si>
  <si>
    <t>PA-005</t>
  </si>
  <si>
    <t>PA-006</t>
  </si>
  <si>
    <t>PA-007</t>
  </si>
  <si>
    <t>PA-008</t>
  </si>
  <si>
    <t>PA-009</t>
  </si>
  <si>
    <t>PA-010</t>
  </si>
  <si>
    <t>PA-011</t>
  </si>
  <si>
    <t>PA-012</t>
  </si>
  <si>
    <t>PA-013</t>
  </si>
  <si>
    <t>PA-014</t>
  </si>
  <si>
    <t>PA-015</t>
  </si>
  <si>
    <t>PA-016</t>
  </si>
  <si>
    <t>PA-017</t>
  </si>
  <si>
    <t>PA-018</t>
  </si>
  <si>
    <t>PA-019</t>
  </si>
  <si>
    <t>PA-020</t>
  </si>
  <si>
    <t>PA-021</t>
  </si>
  <si>
    <t>PA-022</t>
  </si>
  <si>
    <t>PA-023</t>
  </si>
  <si>
    <t>PA-024</t>
  </si>
  <si>
    <t>PA-025</t>
  </si>
  <si>
    <t>PA-026</t>
  </si>
  <si>
    <t>PA-030</t>
  </si>
  <si>
    <t>PA-031</t>
  </si>
  <si>
    <t>PA-032</t>
  </si>
  <si>
    <t>PA-033</t>
  </si>
  <si>
    <t>PA-034</t>
  </si>
  <si>
    <t>PA-035</t>
  </si>
  <si>
    <t>PA-036</t>
  </si>
  <si>
    <t>PA-037</t>
  </si>
  <si>
    <t>PA-038</t>
  </si>
  <si>
    <t>PA-039</t>
  </si>
  <si>
    <t>PA-040</t>
  </si>
  <si>
    <t>PA-041</t>
  </si>
  <si>
    <t>PA-042</t>
  </si>
  <si>
    <t>PA-043</t>
  </si>
  <si>
    <t>PA-044</t>
  </si>
  <si>
    <t>PA-045</t>
  </si>
  <si>
    <t>PA-046</t>
  </si>
  <si>
    <t>PA-047</t>
  </si>
  <si>
    <t>PA-049</t>
  </si>
  <si>
    <t>PA-050</t>
  </si>
  <si>
    <t>PA-051</t>
  </si>
  <si>
    <t>PA-052</t>
  </si>
  <si>
    <t>PA-053</t>
  </si>
  <si>
    <t>PA-054</t>
  </si>
  <si>
    <t>PA-055</t>
  </si>
  <si>
    <t>PA-056</t>
  </si>
  <si>
    <t>PA-057</t>
  </si>
  <si>
    <t>PA-058</t>
  </si>
  <si>
    <t>PA-059</t>
  </si>
  <si>
    <t>PA-060</t>
  </si>
  <si>
    <t>PA-061</t>
  </si>
  <si>
    <t>PA-062</t>
  </si>
  <si>
    <t>PA-063</t>
  </si>
  <si>
    <t>PA-064</t>
  </si>
  <si>
    <t>PA-065</t>
  </si>
  <si>
    <t>PA-066</t>
  </si>
  <si>
    <t>PA-067</t>
  </si>
  <si>
    <t>PA-068</t>
  </si>
  <si>
    <t>PA-069</t>
  </si>
  <si>
    <t>PA-072</t>
  </si>
  <si>
    <t>PA-073</t>
  </si>
  <si>
    <t>PA-074</t>
  </si>
  <si>
    <t>PA-075</t>
  </si>
  <si>
    <t>PA-076</t>
  </si>
  <si>
    <t>PA-077</t>
  </si>
  <si>
    <t>PA-079</t>
  </si>
  <si>
    <t>PA-080</t>
  </si>
  <si>
    <t>PA-083</t>
  </si>
  <si>
    <t>PA-084</t>
  </si>
  <si>
    <t>PA-085</t>
  </si>
  <si>
    <t>PA-086</t>
  </si>
  <si>
    <t>PA-087</t>
  </si>
  <si>
    <t>PA-088</t>
  </si>
  <si>
    <t>PA-089</t>
  </si>
  <si>
    <t>PA-090</t>
  </si>
  <si>
    <t>PA-091</t>
  </si>
  <si>
    <t>PA-092</t>
  </si>
  <si>
    <t>PA-093</t>
  </si>
  <si>
    <t>PA-094</t>
  </si>
  <si>
    <t>PA-096</t>
  </si>
  <si>
    <t>PA-097</t>
  </si>
  <si>
    <t>PA-098</t>
  </si>
  <si>
    <t>PA-102</t>
  </si>
  <si>
    <t>PA-103</t>
  </si>
  <si>
    <t>PA-104</t>
  </si>
  <si>
    <t>PA-105</t>
  </si>
  <si>
    <t>PA-106</t>
  </si>
  <si>
    <t>ORD-000001</t>
  </si>
  <si>
    <t>ORD-000002</t>
  </si>
  <si>
    <t>ORD-000003</t>
  </si>
  <si>
    <t>ORD-000004</t>
  </si>
  <si>
    <t>ORD-000005</t>
  </si>
  <si>
    <t>ORD-000006</t>
  </si>
  <si>
    <t>ORD-000007</t>
  </si>
  <si>
    <t>ORD-000008</t>
  </si>
  <si>
    <t>ORD-000009</t>
  </si>
  <si>
    <t>ORD-000010</t>
  </si>
  <si>
    <t>ORD-000011</t>
  </si>
  <si>
    <t>ORD-000012</t>
  </si>
  <si>
    <t>ORD-000013</t>
  </si>
  <si>
    <t>ORD-000014</t>
  </si>
  <si>
    <t>ORD-000015</t>
  </si>
  <si>
    <t>ORD-000016</t>
  </si>
  <si>
    <t>ORD-000017</t>
  </si>
  <si>
    <t>ORD-000018</t>
  </si>
  <si>
    <t>ORD-000019</t>
  </si>
  <si>
    <t>ORD-000020</t>
  </si>
  <si>
    <t>ORD-000021</t>
  </si>
  <si>
    <t>ORD-000022</t>
  </si>
  <si>
    <t>ORD-000023</t>
  </si>
  <si>
    <t>ORD-000024</t>
  </si>
  <si>
    <t>ORD-000025</t>
  </si>
  <si>
    <t>ORD-000026</t>
  </si>
  <si>
    <t>ORD-000027</t>
  </si>
  <si>
    <t>ORD-000028</t>
  </si>
  <si>
    <t>ORD-000029</t>
  </si>
  <si>
    <t>ORD-000030</t>
  </si>
  <si>
    <t>ORD-000031</t>
  </si>
  <si>
    <t>ORD-000032</t>
  </si>
  <si>
    <t>ORD-000033</t>
  </si>
  <si>
    <t>ORD-000034</t>
  </si>
  <si>
    <t>ORD-000035</t>
  </si>
  <si>
    <t>ORD-000036</t>
  </si>
  <si>
    <t>ORD-000037</t>
  </si>
  <si>
    <t>ORD-000038</t>
  </si>
  <si>
    <t>ORD-000039</t>
  </si>
  <si>
    <t>ORD-000040</t>
  </si>
  <si>
    <t>ORD-000041</t>
  </si>
  <si>
    <t>ORD-000042</t>
  </si>
  <si>
    <t>ORD-000043</t>
  </si>
  <si>
    <t>ORD-000044</t>
  </si>
  <si>
    <t>ORD-000045</t>
  </si>
  <si>
    <t>ORD-000046</t>
  </si>
  <si>
    <t>ORD-000047</t>
  </si>
  <si>
    <t>ORD-000048</t>
  </si>
  <si>
    <t>ORD-000049</t>
  </si>
  <si>
    <t>ORD-000050</t>
  </si>
  <si>
    <t>ORD-000051</t>
  </si>
  <si>
    <t>ORD-000052</t>
  </si>
  <si>
    <t>ORD-000053</t>
  </si>
  <si>
    <t>ORD-000054</t>
  </si>
  <si>
    <t>ORD-000055</t>
  </si>
  <si>
    <t>ORD-000056</t>
  </si>
  <si>
    <t>ORD-000057</t>
  </si>
  <si>
    <t>ORD-000058</t>
  </si>
  <si>
    <t>ORD-000059</t>
  </si>
  <si>
    <t>ORD-000060</t>
  </si>
  <si>
    <t>ORD-000061</t>
  </si>
  <si>
    <t>ORD-000062</t>
  </si>
  <si>
    <t>ORD-000063</t>
  </si>
  <si>
    <t>ORD-000064</t>
  </si>
  <si>
    <t>ORD-000065</t>
  </si>
  <si>
    <t>ORD-000066</t>
  </si>
  <si>
    <t>ORD-000067</t>
  </si>
  <si>
    <t>ORD-000068</t>
  </si>
  <si>
    <t>ORD-000069</t>
  </si>
  <si>
    <t>ORD-000070</t>
  </si>
  <si>
    <t>ORD-000071</t>
  </si>
  <si>
    <t>ORD-000072</t>
  </si>
  <si>
    <t>ORD-000073</t>
  </si>
  <si>
    <t>ORD-000074</t>
  </si>
  <si>
    <t>ORD-000075</t>
  </si>
  <si>
    <t>ORD-000076</t>
  </si>
  <si>
    <t>ORD-000077</t>
  </si>
  <si>
    <t>ORD-000078</t>
  </si>
  <si>
    <t>ORD-000079</t>
  </si>
  <si>
    <t>ORD-000080</t>
  </si>
  <si>
    <t>ORD-000081</t>
  </si>
  <si>
    <t>ORD-000082</t>
  </si>
  <si>
    <t>ORD-000083</t>
  </si>
  <si>
    <t>ORD-000084</t>
  </si>
  <si>
    <t>ORD-000085</t>
  </si>
  <si>
    <t>ORD-000086</t>
  </si>
  <si>
    <t>ORD-000087</t>
  </si>
  <si>
    <t>ORD-000088</t>
  </si>
  <si>
    <t>ORD-000089</t>
  </si>
  <si>
    <t>ORD-000090</t>
  </si>
  <si>
    <t>ORD-000091</t>
  </si>
  <si>
    <t>ORD-000092</t>
  </si>
  <si>
    <t>ORD-000093</t>
  </si>
  <si>
    <t>ORD-000094</t>
  </si>
  <si>
    <t>ORD-000095</t>
  </si>
  <si>
    <t>ORD-000096</t>
  </si>
  <si>
    <t>ORD-000097</t>
  </si>
  <si>
    <t>ORD-000098</t>
  </si>
  <si>
    <t>ORD-000099</t>
  </si>
  <si>
    <t>ORD-000100</t>
  </si>
  <si>
    <t>ORD-000101</t>
  </si>
  <si>
    <t>ORD-000102</t>
  </si>
  <si>
    <t>ORD-000103</t>
  </si>
  <si>
    <t>ORD-000104</t>
  </si>
  <si>
    <t>ORD-000105</t>
  </si>
  <si>
    <t>ORD-000106</t>
  </si>
  <si>
    <t>ORD-000107</t>
  </si>
  <si>
    <t>ORD-000108</t>
  </si>
  <si>
    <t>ORD-000109</t>
  </si>
  <si>
    <t>ORD-000110</t>
  </si>
  <si>
    <t>ORD-000111</t>
  </si>
  <si>
    <t>ORD-000112</t>
  </si>
  <si>
    <t>ORD-000113</t>
  </si>
  <si>
    <t>ORD-000114</t>
  </si>
  <si>
    <t>ORD-000115</t>
  </si>
  <si>
    <t>ORD-000116</t>
  </si>
  <si>
    <t>ORD-000117</t>
  </si>
  <si>
    <t>ORD-000118</t>
  </si>
  <si>
    <t>ORD-000119</t>
  </si>
  <si>
    <t>ORD-000120</t>
  </si>
  <si>
    <t>ORD-000121</t>
  </si>
  <si>
    <t>ORD-000122</t>
  </si>
  <si>
    <t>ORD-000123</t>
  </si>
  <si>
    <t>ORD-000124</t>
  </si>
  <si>
    <t>ORD-000125</t>
  </si>
  <si>
    <t>ORD-000126</t>
  </si>
  <si>
    <t>ORD-000127</t>
  </si>
  <si>
    <t>ORD-000128</t>
  </si>
  <si>
    <t>ORD-000129</t>
  </si>
  <si>
    <t>ORD-000130</t>
  </si>
  <si>
    <t>ORD-000131</t>
  </si>
  <si>
    <t>ORD-000132</t>
  </si>
  <si>
    <t>ORD-000133</t>
  </si>
  <si>
    <t>ORD-000134</t>
  </si>
  <si>
    <t>ORD-000135</t>
  </si>
  <si>
    <t>ORD-000136</t>
  </si>
  <si>
    <t>ORD-000137</t>
  </si>
  <si>
    <t>ORD-000138</t>
  </si>
  <si>
    <t>ORD-000139</t>
  </si>
  <si>
    <t>ORD-000140</t>
  </si>
  <si>
    <t>ORD-000141</t>
  </si>
  <si>
    <t>ORD-000142</t>
  </si>
  <si>
    <t>ORD-000143</t>
  </si>
  <si>
    <t>ORD-000144</t>
  </si>
  <si>
    <t>ORD-000145</t>
  </si>
  <si>
    <t>ORD-000146</t>
  </si>
  <si>
    <t>ORD-000147</t>
  </si>
  <si>
    <t>ORD-000148</t>
  </si>
  <si>
    <t>ORD-000149</t>
  </si>
  <si>
    <t>ORD-000150</t>
  </si>
  <si>
    <t>ORD-000151</t>
  </si>
  <si>
    <t>ORD-000152</t>
  </si>
  <si>
    <t>ORD-000153</t>
  </si>
  <si>
    <t>ORD-000154</t>
  </si>
  <si>
    <t>ORD-000155</t>
  </si>
  <si>
    <t>ORD-000156</t>
  </si>
  <si>
    <t>ORD-000157</t>
  </si>
  <si>
    <t>ORD-000158</t>
  </si>
  <si>
    <t>ORD-000159</t>
  </si>
  <si>
    <t>ORD-000160</t>
  </si>
  <si>
    <t>ORD-000161</t>
  </si>
  <si>
    <t>ORD-000162</t>
  </si>
  <si>
    <t>ORD-000163</t>
  </si>
  <si>
    <t>ORD-000164</t>
  </si>
  <si>
    <t>ORD-000165</t>
  </si>
  <si>
    <t>ORD-000166</t>
  </si>
  <si>
    <t>ORD-000167</t>
  </si>
  <si>
    <t>ORD-000168</t>
  </si>
  <si>
    <t>ORD-000169</t>
  </si>
  <si>
    <t>ORD-000170</t>
  </si>
  <si>
    <t>ORD-000171</t>
  </si>
  <si>
    <t>ORD-000172</t>
  </si>
  <si>
    <t>ORD-000173</t>
  </si>
  <si>
    <t>ORD-000174</t>
  </si>
  <si>
    <t>ORD-000175</t>
  </si>
  <si>
    <t>ORD-000176</t>
  </si>
  <si>
    <t>ORD-000177</t>
  </si>
  <si>
    <t>ORD-000178</t>
  </si>
  <si>
    <t>ORD-000179</t>
  </si>
  <si>
    <t>ORD-000180</t>
  </si>
  <si>
    <t>ORD-000181</t>
  </si>
  <si>
    <t>ORD-000182</t>
  </si>
  <si>
    <t>ORD-000183</t>
  </si>
  <si>
    <t>ORD-000184</t>
  </si>
  <si>
    <t>ORD-000185</t>
  </si>
  <si>
    <t>ORD-000186</t>
  </si>
  <si>
    <t>ORD-000187</t>
  </si>
  <si>
    <t>ORD-000188</t>
  </si>
  <si>
    <t>ORD-000189</t>
  </si>
  <si>
    <t>ORD-000190</t>
  </si>
  <si>
    <t>ORD-000191</t>
  </si>
  <si>
    <t>ORD-000192</t>
  </si>
  <si>
    <t>ORD-000193</t>
  </si>
  <si>
    <t>ORD-000194</t>
  </si>
  <si>
    <t>ORD-000195</t>
  </si>
  <si>
    <t>ORD-000196</t>
  </si>
  <si>
    <t>ORD-000197</t>
  </si>
  <si>
    <t>ORD-000198</t>
  </si>
  <si>
    <t>ORD-000199</t>
  </si>
  <si>
    <t>ORD-000200</t>
  </si>
  <si>
    <t>ORD-000201</t>
  </si>
  <si>
    <t>ORD-000202</t>
  </si>
  <si>
    <t>ORD-000203</t>
  </si>
  <si>
    <t>ORD-000204</t>
  </si>
  <si>
    <t>ORD-000205</t>
  </si>
  <si>
    <t>ORD-000206</t>
  </si>
  <si>
    <t>ORD-000207</t>
  </si>
  <si>
    <t>ORD-000208</t>
  </si>
  <si>
    <t>ORD-000209</t>
  </si>
  <si>
    <t>ORD-000210</t>
  </si>
  <si>
    <t>ORD-000211</t>
  </si>
  <si>
    <t>ORD-000212</t>
  </si>
  <si>
    <t>ORD-000213</t>
  </si>
  <si>
    <t>ORD-000214</t>
  </si>
  <si>
    <t>ORD-000215</t>
  </si>
  <si>
    <t>ORD-000216</t>
  </si>
  <si>
    <t>ORD-000217</t>
  </si>
  <si>
    <t>ORD-000218</t>
  </si>
  <si>
    <t>ORD-000219</t>
  </si>
  <si>
    <t>ORD-000220</t>
  </si>
  <si>
    <t>ORD-000221</t>
  </si>
  <si>
    <t>ORD-000222</t>
  </si>
  <si>
    <t>ORD-000223</t>
  </si>
  <si>
    <t>ORD-000224</t>
  </si>
  <si>
    <t>ORD-000225</t>
  </si>
  <si>
    <t>ORD-000226</t>
  </si>
  <si>
    <t>ORD-000227</t>
  </si>
  <si>
    <t>ORD-000228</t>
  </si>
  <si>
    <t>ORD-000229</t>
  </si>
  <si>
    <t>ORD-000230</t>
  </si>
  <si>
    <t>ORD-000231</t>
  </si>
  <si>
    <t>ORD-000232</t>
  </si>
  <si>
    <t>ORD-000233</t>
  </si>
  <si>
    <t>ORD-000234</t>
  </si>
  <si>
    <t>ORD-000235</t>
  </si>
  <si>
    <t>ORD-000236</t>
  </si>
  <si>
    <t>ORD-000237</t>
  </si>
  <si>
    <t>ORD-000238</t>
  </si>
  <si>
    <t>ORD-000239</t>
  </si>
  <si>
    <t>ORD-000240</t>
  </si>
  <si>
    <t>ORD-000241</t>
  </si>
  <si>
    <t>ORD-000242</t>
  </si>
  <si>
    <t>ORD-000243</t>
  </si>
  <si>
    <t>ORD-000244</t>
  </si>
  <si>
    <t>ORD-000245</t>
  </si>
  <si>
    <t>ORD-000246</t>
  </si>
  <si>
    <t>ORD-000247</t>
  </si>
  <si>
    <t>ORD-000248</t>
  </si>
  <si>
    <t>ORD-000249</t>
  </si>
  <si>
    <t>ORD-000250</t>
  </si>
  <si>
    <t>ORD-000251</t>
  </si>
  <si>
    <t>ORD-000252</t>
  </si>
  <si>
    <t>ORD-000253</t>
  </si>
  <si>
    <t>ORD-000254</t>
  </si>
  <si>
    <t>ORD-000255</t>
  </si>
  <si>
    <t>ORD-000256</t>
  </si>
  <si>
    <t>ORD-000257</t>
  </si>
  <si>
    <t>ORD-000258</t>
  </si>
  <si>
    <t>ORD-000259</t>
  </si>
  <si>
    <t>ORD-000260</t>
  </si>
  <si>
    <t>ORD-000261</t>
  </si>
  <si>
    <t>ORD-000262</t>
  </si>
  <si>
    <t>ORD-000263</t>
  </si>
  <si>
    <t>ORD-000264</t>
  </si>
  <si>
    <t>ORD-000265</t>
  </si>
  <si>
    <t>ORD-000266</t>
  </si>
  <si>
    <t>ORD-000267</t>
  </si>
  <si>
    <t>ORD-000268</t>
  </si>
  <si>
    <t>ORD-000269</t>
  </si>
  <si>
    <t>ORD-000270</t>
  </si>
  <si>
    <t>ORD-000271</t>
  </si>
  <si>
    <t>ORD-000272</t>
  </si>
  <si>
    <t>ORD-000273</t>
  </si>
  <si>
    <t>ORD-000274</t>
  </si>
  <si>
    <t>ORD-000275</t>
  </si>
  <si>
    <t>ORD-000276</t>
  </si>
  <si>
    <t>ORD-000277</t>
  </si>
  <si>
    <t>ORD-000278</t>
  </si>
  <si>
    <t>ORD-000279</t>
  </si>
  <si>
    <t>ORD-000280</t>
  </si>
  <si>
    <t>ORD-000281</t>
  </si>
  <si>
    <t>ORD-000282</t>
  </si>
  <si>
    <t>ORD-000283</t>
  </si>
  <si>
    <t>ORD-000284</t>
  </si>
  <si>
    <t>ORD-000285</t>
  </si>
  <si>
    <t>ORD-000286</t>
  </si>
  <si>
    <t>ORD-000287</t>
  </si>
  <si>
    <t>ORD-000288</t>
  </si>
  <si>
    <t>ORD-000289</t>
  </si>
  <si>
    <t>ORD-000290</t>
  </si>
  <si>
    <t>ORD-000291</t>
  </si>
  <si>
    <t>ORD-000292</t>
  </si>
  <si>
    <t>ORD-000293</t>
  </si>
  <si>
    <t>ORD-000294</t>
  </si>
  <si>
    <t>ORD-000295</t>
  </si>
  <si>
    <t>ORD-000296</t>
  </si>
  <si>
    <t>ORD-000297</t>
  </si>
  <si>
    <t>ORD-000298</t>
  </si>
  <si>
    <t>ORD-000299</t>
  </si>
  <si>
    <t>ORD-000300</t>
  </si>
  <si>
    <t>ORD-000301</t>
  </si>
  <si>
    <t>ORD-000302</t>
  </si>
  <si>
    <t>ORD-000303</t>
  </si>
  <si>
    <t>ORD-000304</t>
  </si>
  <si>
    <t>ORD-000305</t>
  </si>
  <si>
    <t>ORD-000306</t>
  </si>
  <si>
    <t>ORD-000307</t>
  </si>
  <si>
    <t>ORD-000308</t>
  </si>
  <si>
    <t>ORD-000309</t>
  </si>
  <si>
    <t>ORD-000310</t>
  </si>
  <si>
    <t>ORD-000311</t>
  </si>
  <si>
    <t>ORD-000312</t>
  </si>
  <si>
    <t>ORD-000313</t>
  </si>
  <si>
    <t>ORD-000314</t>
  </si>
  <si>
    <t>ORD-000315</t>
  </si>
  <si>
    <t>ORD-000316</t>
  </si>
  <si>
    <t>ORD-000317</t>
  </si>
  <si>
    <t>ORD-000318</t>
  </si>
  <si>
    <t>ORD-000319</t>
  </si>
  <si>
    <t>ORD-000320</t>
  </si>
  <si>
    <t>ORD-000321</t>
  </si>
  <si>
    <t>ORD-000322</t>
  </si>
  <si>
    <t>ORD-000323</t>
  </si>
  <si>
    <t>ORD-000324</t>
  </si>
  <si>
    <t>ORD-000325</t>
  </si>
  <si>
    <t>ORD-000326</t>
  </si>
  <si>
    <t>ORD-000327</t>
  </si>
  <si>
    <t>ORD-000328</t>
  </si>
  <si>
    <t>ORD-000329</t>
  </si>
  <si>
    <t>ORD-000330</t>
  </si>
  <si>
    <t>ORD-000331</t>
  </si>
  <si>
    <t>ORD-000332</t>
  </si>
  <si>
    <t>ORD-000333</t>
  </si>
  <si>
    <t>ORD-000334</t>
  </si>
  <si>
    <t>ORD-000335</t>
  </si>
  <si>
    <t>ORD-000336</t>
  </si>
  <si>
    <t>ORD-000337</t>
  </si>
  <si>
    <t>ORD-000338</t>
  </si>
  <si>
    <t>ORD-000339</t>
  </si>
  <si>
    <t>ORD-000340</t>
  </si>
  <si>
    <t>ORD-000341</t>
  </si>
  <si>
    <t>ORD-000342</t>
  </si>
  <si>
    <t>ORD-000343</t>
  </si>
  <si>
    <t>ORD-000344</t>
  </si>
  <si>
    <t>ORD-000345</t>
  </si>
  <si>
    <t>ORD-000346</t>
  </si>
  <si>
    <t>ORD-000347</t>
  </si>
  <si>
    <t>ORD-000348</t>
  </si>
  <si>
    <t>ORD-000349</t>
  </si>
  <si>
    <t>ORD-000350</t>
  </si>
  <si>
    <t>ORD-000351</t>
  </si>
  <si>
    <t>ORD-000352</t>
  </si>
  <si>
    <t>ORD-000353</t>
  </si>
  <si>
    <t>ORD-000354</t>
  </si>
  <si>
    <t>ORD-000355</t>
  </si>
  <si>
    <t>ORD-000356</t>
  </si>
  <si>
    <t>ORD-000357</t>
  </si>
  <si>
    <t>ORD-000358</t>
  </si>
  <si>
    <t>ORD-000359</t>
  </si>
  <si>
    <t>ORD-000360</t>
  </si>
  <si>
    <t>ORD-000361</t>
  </si>
  <si>
    <t>ORD-000362</t>
  </si>
  <si>
    <t>ORD-000363</t>
  </si>
  <si>
    <t>ORD-000364</t>
  </si>
  <si>
    <t>ORD-000365</t>
  </si>
  <si>
    <t>ORD-000366</t>
  </si>
  <si>
    <t>ORD-000367</t>
  </si>
  <si>
    <t>ORD-000368</t>
  </si>
  <si>
    <t>ORD-000369</t>
  </si>
  <si>
    <t>ORD-000370</t>
  </si>
  <si>
    <t>ORD-000371</t>
  </si>
  <si>
    <t>ORD-000372</t>
  </si>
  <si>
    <t>ORD-000373</t>
  </si>
  <si>
    <t>ORD-000374</t>
  </si>
  <si>
    <t>ORD-000375</t>
  </si>
  <si>
    <t>ORD-000376</t>
  </si>
  <si>
    <t>ORD-000377</t>
  </si>
  <si>
    <t>ORD-000378</t>
  </si>
  <si>
    <t>ORD-000379</t>
  </si>
  <si>
    <t>ORD-000380</t>
  </si>
  <si>
    <t>ORD-000381</t>
  </si>
  <si>
    <t>ORD-000382</t>
  </si>
  <si>
    <t>ORD-000383</t>
  </si>
  <si>
    <t>ORD-000384</t>
  </si>
  <si>
    <t>ORD-000385</t>
  </si>
  <si>
    <t>ORD-000386</t>
  </si>
  <si>
    <t>ORD-000387</t>
  </si>
  <si>
    <t>ORD-000388</t>
  </si>
  <si>
    <t>ORD-000389</t>
  </si>
  <si>
    <t>ORD-000390</t>
  </si>
  <si>
    <t>ORD-000391</t>
  </si>
  <si>
    <t>ORD-000392</t>
  </si>
  <si>
    <t>ORD-000393</t>
  </si>
  <si>
    <t>ORD-000394</t>
  </si>
  <si>
    <t>ORD-000395</t>
  </si>
  <si>
    <t>ORD-000396</t>
  </si>
  <si>
    <t>ORD-000397</t>
  </si>
  <si>
    <t>ORD-000398</t>
  </si>
  <si>
    <t>ORD-000399</t>
  </si>
  <si>
    <t>ORD-000400</t>
  </si>
  <si>
    <t>ORD-000401</t>
  </si>
  <si>
    <t>ORD-000402</t>
  </si>
  <si>
    <t>ORD-000403</t>
  </si>
  <si>
    <t>ORD-000404</t>
  </si>
  <si>
    <t>ORD-000405</t>
  </si>
  <si>
    <t>ORD-000406</t>
  </si>
  <si>
    <t>ORD-000407</t>
  </si>
  <si>
    <t>ORD-000408</t>
  </si>
  <si>
    <t>ORD-000409</t>
  </si>
  <si>
    <t>ORD-000410</t>
  </si>
  <si>
    <t>ORD-000411</t>
  </si>
  <si>
    <t>ORD-000412</t>
  </si>
  <si>
    <t>ORD-000413</t>
  </si>
  <si>
    <t>ORD-000414</t>
  </si>
  <si>
    <t>ORD-000415</t>
  </si>
  <si>
    <t>ORD-000416</t>
  </si>
  <si>
    <t>ORD-000417</t>
  </si>
  <si>
    <t>ORD-000418</t>
  </si>
  <si>
    <t>ORD-000419</t>
  </si>
  <si>
    <t>ORD-000420</t>
  </si>
  <si>
    <t>ORD-000421</t>
  </si>
  <si>
    <t>ORD-000422</t>
  </si>
  <si>
    <t>ORD-000423</t>
  </si>
  <si>
    <t>ORD-000424</t>
  </si>
  <si>
    <t>ORD-000425</t>
  </si>
  <si>
    <t>ORD-000426</t>
  </si>
  <si>
    <t>ORD-000427</t>
  </si>
  <si>
    <t>ORD-000428</t>
  </si>
  <si>
    <t>ORD-000429</t>
  </si>
  <si>
    <t>ORD-000430</t>
  </si>
  <si>
    <t>ORD-000431</t>
  </si>
  <si>
    <t>ORD-000432</t>
  </si>
  <si>
    <t>ORD-000433</t>
  </si>
  <si>
    <t>ORD-000434</t>
  </si>
  <si>
    <t>ORD-000435</t>
  </si>
  <si>
    <t>ORD-000436</t>
  </si>
  <si>
    <t>ORD-000437</t>
  </si>
  <si>
    <t>ORD-000438</t>
  </si>
  <si>
    <t>ORD-000439</t>
  </si>
  <si>
    <t>ORD-000440</t>
  </si>
  <si>
    <t>ORD-000441</t>
  </si>
  <si>
    <t>ORD-000442</t>
  </si>
  <si>
    <t>ORD-000443</t>
  </si>
  <si>
    <t>ORD-000444</t>
  </si>
  <si>
    <t>ORD-000445</t>
  </si>
  <si>
    <t>ORD-000446</t>
  </si>
  <si>
    <t>ORD-000447</t>
  </si>
  <si>
    <t>ORD-000448</t>
  </si>
  <si>
    <t>ORD-000449</t>
  </si>
  <si>
    <t>ORD-000450</t>
  </si>
  <si>
    <t>ORD-000451</t>
  </si>
  <si>
    <t>ORD-000452</t>
  </si>
  <si>
    <t>ORD-000453</t>
  </si>
  <si>
    <t>ORD-000454</t>
  </si>
  <si>
    <t>ORD-000455</t>
  </si>
  <si>
    <t>ORD-000456</t>
  </si>
  <si>
    <t>ORD-000457</t>
  </si>
  <si>
    <t>ORD-000458</t>
  </si>
  <si>
    <t>ORD-000459</t>
  </si>
  <si>
    <t>ORD-000460</t>
  </si>
  <si>
    <t>ORD-000461</t>
  </si>
  <si>
    <t>ORD-000462</t>
  </si>
  <si>
    <t>ORD-000463</t>
  </si>
  <si>
    <t>ORD-000464</t>
  </si>
  <si>
    <t>ORD-000465</t>
  </si>
  <si>
    <t>ORD-000466</t>
  </si>
  <si>
    <t>ORD-000467</t>
  </si>
  <si>
    <t>ORD-000468</t>
  </si>
  <si>
    <t>ORD-000469</t>
  </si>
  <si>
    <t>ORD-000470</t>
  </si>
  <si>
    <t>ORD-000471</t>
  </si>
  <si>
    <t>ORD-000472</t>
  </si>
  <si>
    <t>ORD-000473</t>
  </si>
  <si>
    <t>ORD-000474</t>
  </si>
  <si>
    <t>ORD-000475</t>
  </si>
  <si>
    <t>ORD-000476</t>
  </si>
  <si>
    <t>ORD-000477</t>
  </si>
  <si>
    <t>ORD-000478</t>
  </si>
  <si>
    <t>ORD-000479</t>
  </si>
  <si>
    <t>ORD-000480</t>
  </si>
  <si>
    <t>ORD-000481</t>
  </si>
  <si>
    <t>ORD-000482</t>
  </si>
  <si>
    <t>ORD-000483</t>
  </si>
  <si>
    <t>ORD-000484</t>
  </si>
  <si>
    <t>ORD-000485</t>
  </si>
  <si>
    <t>ORD-000486</t>
  </si>
  <si>
    <t>ORD-000487</t>
  </si>
  <si>
    <t>ORD-000488</t>
  </si>
  <si>
    <t>ORD-000489</t>
  </si>
  <si>
    <t>ORD-000490</t>
  </si>
  <si>
    <t>ORD-000491</t>
  </si>
  <si>
    <t>ORD-000492</t>
  </si>
  <si>
    <t>ORD-000493</t>
  </si>
  <si>
    <t>ORD-000494</t>
  </si>
  <si>
    <t>ORD-000495</t>
  </si>
  <si>
    <t>ORD-000496</t>
  </si>
  <si>
    <t>ORD-000497</t>
  </si>
  <si>
    <t>ORD-000498</t>
  </si>
  <si>
    <t>ORD-000499</t>
  </si>
  <si>
    <t>ORD-000500</t>
  </si>
  <si>
    <t>ORD-000501</t>
  </si>
  <si>
    <t>ORD-000502</t>
  </si>
  <si>
    <t>ORD-000503</t>
  </si>
  <si>
    <t>ORD-000504</t>
  </si>
  <si>
    <t>ORD-000505</t>
  </si>
  <si>
    <t>ORD-000506</t>
  </si>
  <si>
    <t>ORD-000507</t>
  </si>
  <si>
    <t>ORD-000508</t>
  </si>
  <si>
    <t>ORD-000509</t>
  </si>
  <si>
    <t>ORD-000510</t>
  </si>
  <si>
    <t>ORD-000511</t>
  </si>
  <si>
    <t>ORD-000512</t>
  </si>
  <si>
    <t>ORD-000513</t>
  </si>
  <si>
    <t>ORD-000514</t>
  </si>
  <si>
    <t>ORD-000515</t>
  </si>
  <si>
    <t>ORD-000516</t>
  </si>
  <si>
    <t>ORD-000517</t>
  </si>
  <si>
    <t>ORD-000518</t>
  </si>
  <si>
    <t>ORD-000519</t>
  </si>
  <si>
    <t>ORD-000520</t>
  </si>
  <si>
    <t>ORD-000521</t>
  </si>
  <si>
    <t>ORD-000522</t>
  </si>
  <si>
    <t>ORD-000523</t>
  </si>
  <si>
    <t>ORD-000524</t>
  </si>
  <si>
    <t>ORD-000525</t>
  </si>
  <si>
    <t>ORD-000526</t>
  </si>
  <si>
    <t>ORD-000527</t>
  </si>
  <si>
    <t>ORD-000528</t>
  </si>
  <si>
    <t>ORD-000529</t>
  </si>
  <si>
    <t>ORD-000530</t>
  </si>
  <si>
    <t>ORD-000531</t>
  </si>
  <si>
    <t>ORD-000532</t>
  </si>
  <si>
    <t>ORD-000533</t>
  </si>
  <si>
    <t>ORD-000534</t>
  </si>
  <si>
    <t>ORD-000535</t>
  </si>
  <si>
    <t>ORD-000536</t>
  </si>
  <si>
    <t>ORD-000537</t>
  </si>
  <si>
    <t>ORD-000538</t>
  </si>
  <si>
    <t>ORD-000539</t>
  </si>
  <si>
    <t>ORD-000540</t>
  </si>
  <si>
    <t>ORD-000541</t>
  </si>
  <si>
    <t>ORD-000542</t>
  </si>
  <si>
    <t>ORD-000543</t>
  </si>
  <si>
    <t>ORD-000544</t>
  </si>
  <si>
    <t>ORD-000545</t>
  </si>
  <si>
    <t>ORD-000546</t>
  </si>
  <si>
    <t>ORD-000547</t>
  </si>
  <si>
    <t>ORD-000548</t>
  </si>
  <si>
    <t>ORD-000549</t>
  </si>
  <si>
    <t>ORD-000550</t>
  </si>
  <si>
    <t>ORD-000551</t>
  </si>
  <si>
    <t>ORD-000552</t>
  </si>
  <si>
    <t>ORD-000553</t>
  </si>
  <si>
    <t>ORD-000554</t>
  </si>
  <si>
    <t>ORD-000555</t>
  </si>
  <si>
    <t>ORD-000556</t>
  </si>
  <si>
    <t>ORD-000557</t>
  </si>
  <si>
    <t>ORD-000558</t>
  </si>
  <si>
    <t>ORD-000559</t>
  </si>
  <si>
    <t>ORD-000560</t>
  </si>
  <si>
    <t>ORD-000561</t>
  </si>
  <si>
    <t>ORD-000562</t>
  </si>
  <si>
    <t>ORD-000563</t>
  </si>
  <si>
    <t>ORD-000564</t>
  </si>
  <si>
    <t>ORD-000565</t>
  </si>
  <si>
    <t>ORD-000566</t>
  </si>
  <si>
    <t>ORD-000567</t>
  </si>
  <si>
    <t>ORD-000568</t>
  </si>
  <si>
    <t>ORD-000569</t>
  </si>
  <si>
    <t>ORD-000570</t>
  </si>
  <si>
    <t>ORD-000571</t>
  </si>
  <si>
    <t>ORD-000572</t>
  </si>
  <si>
    <t>ORD-000573</t>
  </si>
  <si>
    <t>ORD-000574</t>
  </si>
  <si>
    <t>ORD-000575</t>
  </si>
  <si>
    <t>ORD-000576</t>
  </si>
  <si>
    <t>ORD-000577</t>
  </si>
  <si>
    <t>ORD-000578</t>
  </si>
  <si>
    <t>ORD-000579</t>
  </si>
  <si>
    <t>ORD-000580</t>
  </si>
  <si>
    <t>ORD-000581</t>
  </si>
  <si>
    <t>ORD-000582</t>
  </si>
  <si>
    <t>ORD-000583</t>
  </si>
  <si>
    <t>ORD-000584</t>
  </si>
  <si>
    <t>ORD-000585</t>
  </si>
  <si>
    <t>ORD-000586</t>
  </si>
  <si>
    <t>ORD-000587</t>
  </si>
  <si>
    <t>ORD-000588</t>
  </si>
  <si>
    <t>ORD-000589</t>
  </si>
  <si>
    <t>ORD-000590</t>
  </si>
  <si>
    <t>ORD-000591</t>
  </si>
  <si>
    <t>ORD-000592</t>
  </si>
  <si>
    <t>ORD-000593</t>
  </si>
  <si>
    <t>ORD-000594</t>
  </si>
  <si>
    <t>ORD-000595</t>
  </si>
  <si>
    <t>ORD-000596</t>
  </si>
  <si>
    <t>ORD-000597</t>
  </si>
  <si>
    <t>ORD-000598</t>
  </si>
  <si>
    <t>ORD-000599</t>
  </si>
  <si>
    <t>ORD-000600</t>
  </si>
  <si>
    <t>ORD-000601</t>
  </si>
  <si>
    <t>ORD-000602</t>
  </si>
  <si>
    <t>ORD-000603</t>
  </si>
  <si>
    <t>ORD-000604</t>
  </si>
  <si>
    <t>ORD-000605</t>
  </si>
  <si>
    <t>ORD-000606</t>
  </si>
  <si>
    <t>ORD-000607</t>
  </si>
  <si>
    <t>ORD-000608</t>
  </si>
  <si>
    <t>ORD-000609</t>
  </si>
  <si>
    <t>ORD-000610</t>
  </si>
  <si>
    <t>ORD-000611</t>
  </si>
  <si>
    <t>ORD-000612</t>
  </si>
  <si>
    <t>ORD-000613</t>
  </si>
  <si>
    <t>ORD-000614</t>
  </si>
  <si>
    <t>ORD-000615</t>
  </si>
  <si>
    <t>ORD-000616</t>
  </si>
  <si>
    <t>ORD-000617</t>
  </si>
  <si>
    <t>ORD-000618</t>
  </si>
  <si>
    <t>ORD-000619</t>
  </si>
  <si>
    <t>ORD-000620</t>
  </si>
  <si>
    <t>ORD-000621</t>
  </si>
  <si>
    <t>ORD-000622</t>
  </si>
  <si>
    <t>ORD-000623</t>
  </si>
  <si>
    <t>ORD-000624</t>
  </si>
  <si>
    <t>ORD-000625</t>
  </si>
  <si>
    <t>ORD-000626</t>
  </si>
  <si>
    <t>ORD-000627</t>
  </si>
  <si>
    <t>ORD-000628</t>
  </si>
  <si>
    <t>ORD-000629</t>
  </si>
  <si>
    <t>ORD-000630</t>
  </si>
  <si>
    <t>ORD-000631</t>
  </si>
  <si>
    <t>ORD-000632</t>
  </si>
  <si>
    <t>ORD-000633</t>
  </si>
  <si>
    <t>ORD-000634</t>
  </si>
  <si>
    <t>ORD-000635</t>
  </si>
  <si>
    <t>ORD-000636</t>
  </si>
  <si>
    <t>ORD-000637</t>
  </si>
  <si>
    <t>ORD-000638</t>
  </si>
  <si>
    <t>ORD-000639</t>
  </si>
  <si>
    <t>ORD-000640</t>
  </si>
  <si>
    <t>ORD-000641</t>
  </si>
  <si>
    <t>ORD-000642</t>
  </si>
  <si>
    <t>ORD-000643</t>
  </si>
  <si>
    <t>ORD-000644</t>
  </si>
  <si>
    <t>ORD-000645</t>
  </si>
  <si>
    <t>ORD-000646</t>
  </si>
  <si>
    <t>ORD-000647</t>
  </si>
  <si>
    <t>ORD-000648</t>
  </si>
  <si>
    <t>ORD-000649</t>
  </si>
  <si>
    <t>ORD-000650</t>
  </si>
  <si>
    <t>ORD-000651</t>
  </si>
  <si>
    <t>ORD-000652</t>
  </si>
  <si>
    <t>ORD-000653</t>
  </si>
  <si>
    <t>ORD-000654</t>
  </si>
  <si>
    <t>ORD-000655</t>
  </si>
  <si>
    <t>ORD-000656</t>
  </si>
  <si>
    <t>ORD-000657</t>
  </si>
  <si>
    <t>ORD-000658</t>
  </si>
  <si>
    <t>ORD-000659</t>
  </si>
  <si>
    <t>ORD-000660</t>
  </si>
  <si>
    <t>ORD-000661</t>
  </si>
  <si>
    <t>ORD-000662</t>
  </si>
  <si>
    <t>ORD-000663</t>
  </si>
  <si>
    <t>ORD-000664</t>
  </si>
  <si>
    <t>ORD-000665</t>
  </si>
  <si>
    <t>ORD-000666</t>
  </si>
  <si>
    <t>ORD-000667</t>
  </si>
  <si>
    <t>ORD-000668</t>
  </si>
  <si>
    <t>ORD-000669</t>
  </si>
  <si>
    <t>ORD-000670</t>
  </si>
  <si>
    <t>ORD-000671</t>
  </si>
  <si>
    <t>ORD-000672</t>
  </si>
  <si>
    <t>ORD-000673</t>
  </si>
  <si>
    <t>ORD-000674</t>
  </si>
  <si>
    <t>ORD-000675</t>
  </si>
  <si>
    <t>ORD-000676</t>
  </si>
  <si>
    <t>ORD-000677</t>
  </si>
  <si>
    <t>ORD-000678</t>
  </si>
  <si>
    <t>ORD-000679</t>
  </si>
  <si>
    <t>ORD-000680</t>
  </si>
  <si>
    <t>ORD-000681</t>
  </si>
  <si>
    <t>ORD-000682</t>
  </si>
  <si>
    <t>ORD-000683</t>
  </si>
  <si>
    <t>ORD-000684</t>
  </si>
  <si>
    <t>ORD-000685</t>
  </si>
  <si>
    <t>ORD-000686</t>
  </si>
  <si>
    <t>ORD-000687</t>
  </si>
  <si>
    <t>ORD-000688</t>
  </si>
  <si>
    <t>ORD-000689</t>
  </si>
  <si>
    <t>ORD-000690</t>
  </si>
  <si>
    <t>ORD-000691</t>
  </si>
  <si>
    <t>ORD-000692</t>
  </si>
  <si>
    <t>ORD-000693</t>
  </si>
  <si>
    <t>ORD-000694</t>
  </si>
  <si>
    <t>ORD-000695</t>
  </si>
  <si>
    <t>ORD-000696</t>
  </si>
  <si>
    <t>ORD-000697</t>
  </si>
  <si>
    <t>ORD-000698</t>
  </si>
  <si>
    <t>ORD-000699</t>
  </si>
  <si>
    <t>ORD-000700</t>
  </si>
  <si>
    <t>ORD-000701</t>
  </si>
  <si>
    <t>ORD-000702</t>
  </si>
  <si>
    <t>ORD-000703</t>
  </si>
  <si>
    <t>ORD-000704</t>
  </si>
  <si>
    <t>ORD-000705</t>
  </si>
  <si>
    <t>ORD-000706</t>
  </si>
  <si>
    <t>ORD-000707</t>
  </si>
  <si>
    <t>ORD-000708</t>
  </si>
  <si>
    <t>ORD-000709</t>
  </si>
  <si>
    <t>ORD-000710</t>
  </si>
  <si>
    <t>ORD-000711</t>
  </si>
  <si>
    <t>ORD-000712</t>
  </si>
  <si>
    <t>ORD-000713</t>
  </si>
  <si>
    <t>ORD-000714</t>
  </si>
  <si>
    <t>ORD-000715</t>
  </si>
  <si>
    <t>ORD-000716</t>
  </si>
  <si>
    <t>ORD-000717</t>
  </si>
  <si>
    <t>ORD-000718</t>
  </si>
  <si>
    <t>ORD-000719</t>
  </si>
  <si>
    <t>ORD-000720</t>
  </si>
  <si>
    <t>ORD-000721</t>
  </si>
  <si>
    <t>ORD-000722</t>
  </si>
  <si>
    <t>ORD-000723</t>
  </si>
  <si>
    <t>ORD-000724</t>
  </si>
  <si>
    <t>ORD-000725</t>
  </si>
  <si>
    <t>ORD-000726</t>
  </si>
  <si>
    <t>ORD-000727</t>
  </si>
  <si>
    <t>ORD-000728</t>
  </si>
  <si>
    <t>ORD-000729</t>
  </si>
  <si>
    <t>ORD-000730</t>
  </si>
  <si>
    <t>ORD-000731</t>
  </si>
  <si>
    <t>ORD-000732</t>
  </si>
  <si>
    <t>ORD-000733</t>
  </si>
  <si>
    <t>ORD-000734</t>
  </si>
  <si>
    <t>ORD-000735</t>
  </si>
  <si>
    <t>ORD-000736</t>
  </si>
  <si>
    <t>ORD-000737</t>
  </si>
  <si>
    <t>ORD-000738</t>
  </si>
  <si>
    <t>ORD-000739</t>
  </si>
  <si>
    <t>ORD-000740</t>
  </si>
  <si>
    <t>ORD-000741</t>
  </si>
  <si>
    <t>ORD-000742</t>
  </si>
  <si>
    <t>ORD-000743</t>
  </si>
  <si>
    <t>ORD-000744</t>
  </si>
  <si>
    <t>ORD-000745</t>
  </si>
  <si>
    <t>ORD-000746</t>
  </si>
  <si>
    <t>ORD-000747</t>
  </si>
  <si>
    <t>ORD-000748</t>
  </si>
  <si>
    <t>ORD-000749</t>
  </si>
  <si>
    <t>ORD-000750</t>
  </si>
  <si>
    <t>ORD-000751</t>
  </si>
  <si>
    <t>ORD-000752</t>
  </si>
  <si>
    <t>ORD-000753</t>
  </si>
  <si>
    <t>ORD-000754</t>
  </si>
  <si>
    <t>ORD-000755</t>
  </si>
  <si>
    <t>ORD-000756</t>
  </si>
  <si>
    <t>ORD-000757</t>
  </si>
  <si>
    <t>ORD-000758</t>
  </si>
  <si>
    <t>ORD-000759</t>
  </si>
  <si>
    <t>ORD-000760</t>
  </si>
  <si>
    <t>ORD-000761</t>
  </si>
  <si>
    <t>ORD-000762</t>
  </si>
  <si>
    <t>ORD-000763</t>
  </si>
  <si>
    <t>ORD-000764</t>
  </si>
  <si>
    <t>ORD-000765</t>
  </si>
  <si>
    <t>ORD-000766</t>
  </si>
  <si>
    <t>ORD-000767</t>
  </si>
  <si>
    <t>ORD-000768</t>
  </si>
  <si>
    <t>ORD-000769</t>
  </si>
  <si>
    <t>ORD-000770</t>
  </si>
  <si>
    <t>ORD-000771</t>
  </si>
  <si>
    <t>ORD-000772</t>
  </si>
  <si>
    <t>ORD-000773</t>
  </si>
  <si>
    <t>ORD-000774</t>
  </si>
  <si>
    <t>ORD-000775</t>
  </si>
  <si>
    <t>ORD-000776</t>
  </si>
  <si>
    <t>ORD-000777</t>
  </si>
  <si>
    <t>ORD-000778</t>
  </si>
  <si>
    <t>ORD-000779</t>
  </si>
  <si>
    <t>ORD-000780</t>
  </si>
  <si>
    <t>ORD-000781</t>
  </si>
  <si>
    <t>ORD-000782</t>
  </si>
  <si>
    <t>ORD-000783</t>
  </si>
  <si>
    <t>ORD-000784</t>
  </si>
  <si>
    <t>ORD-000785</t>
  </si>
  <si>
    <t>ORD-000786</t>
  </si>
  <si>
    <t>ORD-000787</t>
  </si>
  <si>
    <t>ORD-000788</t>
  </si>
  <si>
    <t>ORD-000789</t>
  </si>
  <si>
    <t>ORD-000790</t>
  </si>
  <si>
    <t>ORD-000791</t>
  </si>
  <si>
    <t>ORD-000792</t>
  </si>
  <si>
    <t>ORD-000793</t>
  </si>
  <si>
    <t>ORD-000794</t>
  </si>
  <si>
    <t>ORD-000795</t>
  </si>
  <si>
    <t>ORD-000796</t>
  </si>
  <si>
    <t>ORD-000797</t>
  </si>
  <si>
    <t>ORD-000798</t>
  </si>
  <si>
    <t>ORD-000799</t>
  </si>
  <si>
    <t>ORD-000800</t>
  </si>
  <si>
    <t>ORD-000801</t>
  </si>
  <si>
    <t>ORD-000802</t>
  </si>
  <si>
    <t>ORD-000803</t>
  </si>
  <si>
    <t>ORD-000804</t>
  </si>
  <si>
    <t>ORD-000805</t>
  </si>
  <si>
    <t>ORD-000806</t>
  </si>
  <si>
    <t>ORD-000807</t>
  </si>
  <si>
    <t>ORD-000808</t>
  </si>
  <si>
    <t>ORD-000809</t>
  </si>
  <si>
    <t>ORD-000810</t>
  </si>
  <si>
    <t>ORD-000811</t>
  </si>
  <si>
    <t>ORD-000812</t>
  </si>
  <si>
    <t>ORD-000813</t>
  </si>
  <si>
    <t>ORD-000814</t>
  </si>
  <si>
    <t>ORD-000815</t>
  </si>
  <si>
    <t>ORD-000816</t>
  </si>
  <si>
    <t>ORD-000817</t>
  </si>
  <si>
    <t>ORD-000818</t>
  </si>
  <si>
    <t>ORD-000819</t>
  </si>
  <si>
    <t>ORD-000820</t>
  </si>
  <si>
    <t>ORD-000821</t>
  </si>
  <si>
    <t>ORD-000822</t>
  </si>
  <si>
    <t>ORD-000823</t>
  </si>
  <si>
    <t>ORD-000824</t>
  </si>
  <si>
    <t>ORD-000825</t>
  </si>
  <si>
    <t>ORD-000826</t>
  </si>
  <si>
    <t>ORD-000827</t>
  </si>
  <si>
    <t>ORD-000828</t>
  </si>
  <si>
    <t>ORD-000829</t>
  </si>
  <si>
    <t>ORD-000830</t>
  </si>
  <si>
    <t>ORD-000831</t>
  </si>
  <si>
    <t>ORD-000832</t>
  </si>
  <si>
    <t>ORD-000833</t>
  </si>
  <si>
    <t>ORD-000834</t>
  </si>
  <si>
    <t>ORD-000835</t>
  </si>
  <si>
    <t>ORD-000836</t>
  </si>
  <si>
    <t>ORD-000837</t>
  </si>
  <si>
    <t>ORD-000838</t>
  </si>
  <si>
    <t>ORD-000839</t>
  </si>
  <si>
    <t>ORD-000840</t>
  </si>
  <si>
    <t>ORD-000841</t>
  </si>
  <si>
    <t>ORD-000842</t>
  </si>
  <si>
    <t>ORD-000843</t>
  </si>
  <si>
    <t>ORD-000844</t>
  </si>
  <si>
    <t>ORD-000845</t>
  </si>
  <si>
    <t>ORD-000846</t>
  </si>
  <si>
    <t>ORD-000847</t>
  </si>
  <si>
    <t>ORD-000848</t>
  </si>
  <si>
    <t>ORD-000849</t>
  </si>
  <si>
    <t>ORD-000850</t>
  </si>
  <si>
    <t>ORD-000851</t>
  </si>
  <si>
    <t>ORD-000852</t>
  </si>
  <si>
    <t>ORD-000853</t>
  </si>
  <si>
    <t>ORD-000854</t>
  </si>
  <si>
    <t>ORD-000855</t>
  </si>
  <si>
    <t>ORD-000856</t>
  </si>
  <si>
    <t>ORD-000857</t>
  </si>
  <si>
    <t>ORD-000858</t>
  </si>
  <si>
    <t>ORD-000859</t>
  </si>
  <si>
    <t>ORD-000860</t>
  </si>
  <si>
    <t>ORD-000861</t>
  </si>
  <si>
    <t>ORD-000862</t>
  </si>
  <si>
    <t>ORD-000863</t>
  </si>
  <si>
    <t>ORD-000864</t>
  </si>
  <si>
    <t>ORD-000865</t>
  </si>
  <si>
    <t>ORD-000866</t>
  </si>
  <si>
    <t>ORD-000867</t>
  </si>
  <si>
    <t>ORD-000868</t>
  </si>
  <si>
    <t>ORD-000869</t>
  </si>
  <si>
    <t>ORD-000870</t>
  </si>
  <si>
    <t>ORD-000871</t>
  </si>
  <si>
    <t>ORD-000872</t>
  </si>
  <si>
    <t>ORD-000873</t>
  </si>
  <si>
    <t>ORD-000874</t>
  </si>
  <si>
    <t>ORD-000875</t>
  </si>
  <si>
    <t>ORD-000876</t>
  </si>
  <si>
    <t>ORD-000877</t>
  </si>
  <si>
    <t>ORD-000878</t>
  </si>
  <si>
    <t>ORD-000879</t>
  </si>
  <si>
    <t>ORD-000880</t>
  </si>
  <si>
    <t>ORD-000881</t>
  </si>
  <si>
    <t>ORD-000882</t>
  </si>
  <si>
    <t>ORD-000883</t>
  </si>
  <si>
    <t>ORD-000884</t>
  </si>
  <si>
    <t>ORD-000885</t>
  </si>
  <si>
    <t>ORD-000886</t>
  </si>
  <si>
    <t>ORD-000887</t>
  </si>
  <si>
    <t>ORD-000888</t>
  </si>
  <si>
    <t>ORD-000889</t>
  </si>
  <si>
    <t>ORD-000890</t>
  </si>
  <si>
    <t>ORD-000891</t>
  </si>
  <si>
    <t>ORD-000892</t>
  </si>
  <si>
    <t>ORD-000893</t>
  </si>
  <si>
    <t>ORD-000894</t>
  </si>
  <si>
    <t>ORD-000895</t>
  </si>
  <si>
    <t>ORD-000896</t>
  </si>
  <si>
    <t>ORD-000897</t>
  </si>
  <si>
    <t>ORD-000898</t>
  </si>
  <si>
    <t>ORD-000899</t>
  </si>
  <si>
    <t>ORD-000900</t>
  </si>
  <si>
    <t>ORD-000901</t>
  </si>
  <si>
    <t>ORD-000902</t>
  </si>
  <si>
    <t>ORD-000903</t>
  </si>
  <si>
    <t>ORD-000904</t>
  </si>
  <si>
    <t>ORD-000905</t>
  </si>
  <si>
    <t>ORD-000906</t>
  </si>
  <si>
    <t>ORD-000907</t>
  </si>
  <si>
    <t>ORD-000908</t>
  </si>
  <si>
    <t>ORD-000909</t>
  </si>
  <si>
    <t>ORD-000910</t>
  </si>
  <si>
    <t>ORD-000911</t>
  </si>
  <si>
    <t>ORD-000912</t>
  </si>
  <si>
    <t>ORD-000913</t>
  </si>
  <si>
    <t>ORD-000914</t>
  </si>
  <si>
    <t>ORD-000915</t>
  </si>
  <si>
    <t>ORD-000916</t>
  </si>
  <si>
    <t>ORD-000917</t>
  </si>
  <si>
    <t>ORD-000918</t>
  </si>
  <si>
    <t>ORD-000919</t>
  </si>
  <si>
    <t>ORD-000920</t>
  </si>
  <si>
    <t>ORD-000921</t>
  </si>
  <si>
    <t>ORD-000922</t>
  </si>
  <si>
    <t>ORD-000923</t>
  </si>
  <si>
    <t>ORD-000924</t>
  </si>
  <si>
    <t>ORD-000925</t>
  </si>
  <si>
    <t>ORD-000926</t>
  </si>
  <si>
    <t>ORD-000927</t>
  </si>
  <si>
    <t>ORD-000928</t>
  </si>
  <si>
    <t>ORD-000929</t>
  </si>
  <si>
    <t>ORD-000930</t>
  </si>
  <si>
    <t>ORD-000931</t>
  </si>
  <si>
    <t>ORD-000932</t>
  </si>
  <si>
    <t>ORD-000933</t>
  </si>
  <si>
    <t>ORD-000934</t>
  </si>
  <si>
    <t>ORD-000935</t>
  </si>
  <si>
    <t>ORD-000936</t>
  </si>
  <si>
    <t>ORD-000937</t>
  </si>
  <si>
    <t>ORD-000938</t>
  </si>
  <si>
    <t>ORD-000939</t>
  </si>
  <si>
    <t>ORD-000940</t>
  </si>
  <si>
    <t>ORD-000941</t>
  </si>
  <si>
    <t>ORD-000942</t>
  </si>
  <si>
    <t>ORD-000943</t>
  </si>
  <si>
    <t>ORD-000944</t>
  </si>
  <si>
    <t>ORD-000945</t>
  </si>
  <si>
    <t>ORD-000946</t>
  </si>
  <si>
    <t>ORD-000947</t>
  </si>
  <si>
    <t>ORD-000948</t>
  </si>
  <si>
    <t>ORD-000949</t>
  </si>
  <si>
    <t>ORD-000950</t>
  </si>
  <si>
    <t>ORD-000951</t>
  </si>
  <si>
    <t>ORD-000952</t>
  </si>
  <si>
    <t>ORD-000953</t>
  </si>
  <si>
    <t>ORD-000954</t>
  </si>
  <si>
    <t>ORD-000955</t>
  </si>
  <si>
    <t>ORD-000956</t>
  </si>
  <si>
    <t>ORD-000957</t>
  </si>
  <si>
    <t>ORD-000958</t>
  </si>
  <si>
    <t>ORD-000959</t>
  </si>
  <si>
    <t>ORD-000960</t>
  </si>
  <si>
    <t>ORD-000961</t>
  </si>
  <si>
    <t>ORD-000962</t>
  </si>
  <si>
    <t>ORD-000963</t>
  </si>
  <si>
    <t>ORD-000964</t>
  </si>
  <si>
    <t>ORD-000965</t>
  </si>
  <si>
    <t>ORD-000966</t>
  </si>
  <si>
    <t>ORD-000967</t>
  </si>
  <si>
    <t>ORD-000968</t>
  </si>
  <si>
    <t>ORD-000969</t>
  </si>
  <si>
    <t>ORD-000970</t>
  </si>
  <si>
    <t>ORD-000971</t>
  </si>
  <si>
    <t>ORD-000972</t>
  </si>
  <si>
    <t>ORD-000973</t>
  </si>
  <si>
    <t>ORD-000974</t>
  </si>
  <si>
    <t>ORD-000975</t>
  </si>
  <si>
    <t>ORD-000976</t>
  </si>
  <si>
    <t>ORD-000977</t>
  </si>
  <si>
    <t>ORD-000978</t>
  </si>
  <si>
    <t>ORD-000979</t>
  </si>
  <si>
    <t>ORD-000980</t>
  </si>
  <si>
    <t>ORD-000981</t>
  </si>
  <si>
    <t>ORD-000982</t>
  </si>
  <si>
    <t>ORD-000983</t>
  </si>
  <si>
    <t>ORD-000984</t>
  </si>
  <si>
    <t>ORD-000985</t>
  </si>
  <si>
    <t>ORD-000986</t>
  </si>
  <si>
    <t>ORD-000987</t>
  </si>
  <si>
    <t>ORD-000988</t>
  </si>
  <si>
    <t>ORD-000989</t>
  </si>
  <si>
    <t>ORD-000990</t>
  </si>
  <si>
    <t>ORD-000991</t>
  </si>
  <si>
    <t>ORD-000992</t>
  </si>
  <si>
    <t>ORD-000993</t>
  </si>
  <si>
    <t>ORD-000994</t>
  </si>
  <si>
    <t>ORD-000995</t>
  </si>
  <si>
    <t>ORD-000996</t>
  </si>
  <si>
    <t>ORD-000997</t>
  </si>
  <si>
    <t>ORD-000998</t>
  </si>
  <si>
    <t>ORD-000999</t>
  </si>
  <si>
    <t>ORD-001000</t>
  </si>
  <si>
    <t>ORD-001001</t>
  </si>
  <si>
    <t>ORD-001002</t>
  </si>
  <si>
    <t>ORD-001003</t>
  </si>
  <si>
    <t>ORD-001004</t>
  </si>
  <si>
    <t>ORD-001005</t>
  </si>
  <si>
    <t>ORD-001006</t>
  </si>
  <si>
    <t>ORD-001007</t>
  </si>
  <si>
    <t>ORD-001008</t>
  </si>
  <si>
    <t>ORD-001009</t>
  </si>
  <si>
    <t>ORD-001010</t>
  </si>
  <si>
    <t>ORD-001011</t>
  </si>
  <si>
    <t>ORD-001012</t>
  </si>
  <si>
    <t>ORD-001013</t>
  </si>
  <si>
    <t>ORD-001014</t>
  </si>
  <si>
    <t>ORD-001015</t>
  </si>
  <si>
    <t>ORD-001016</t>
  </si>
  <si>
    <t>ORD-001017</t>
  </si>
  <si>
    <t>ORD-001018</t>
  </si>
  <si>
    <t>ORD-001019</t>
  </si>
  <si>
    <t>ORD-001020</t>
  </si>
  <si>
    <t>ORD-001021</t>
  </si>
  <si>
    <t>ORD-001022</t>
  </si>
  <si>
    <t>ORD-001023</t>
  </si>
  <si>
    <t>ORD-001024</t>
  </si>
  <si>
    <t>ORD-001025</t>
  </si>
  <si>
    <t>ORD-001026</t>
  </si>
  <si>
    <t>ORD-001027</t>
  </si>
  <si>
    <t>ORD-001028</t>
  </si>
  <si>
    <t>ORD-001029</t>
  </si>
  <si>
    <t>ORD-001030</t>
  </si>
  <si>
    <t>ORD-001031</t>
  </si>
  <si>
    <t>ORD-001032</t>
  </si>
  <si>
    <t>ORD-001033</t>
  </si>
  <si>
    <t>ORD-001034</t>
  </si>
  <si>
    <t>ORD-001035</t>
  </si>
  <si>
    <t>ORD-001036</t>
  </si>
  <si>
    <t>ORD-001037</t>
  </si>
  <si>
    <t>ORD-001038</t>
  </si>
  <si>
    <t>ORD-001039</t>
  </si>
  <si>
    <t>ORD-001040</t>
  </si>
  <si>
    <t>ORD-001041</t>
  </si>
  <si>
    <t>ORD-001042</t>
  </si>
  <si>
    <t>ORD-001043</t>
  </si>
  <si>
    <t>ORD-001044</t>
  </si>
  <si>
    <t>ORD-001045</t>
  </si>
  <si>
    <t>ORD-001046</t>
  </si>
  <si>
    <t>ORD-001047</t>
  </si>
  <si>
    <t>ORD-001048</t>
  </si>
  <si>
    <t>ORD-001049</t>
  </si>
  <si>
    <t>ORD-001050</t>
  </si>
  <si>
    <t>ORD-001051</t>
  </si>
  <si>
    <t>ORD-001052</t>
  </si>
  <si>
    <t>ORD-001053</t>
  </si>
  <si>
    <t>ORD-001054</t>
  </si>
  <si>
    <t>ORD-001055</t>
  </si>
  <si>
    <t>ORD-001056</t>
  </si>
  <si>
    <t>ORD-001057</t>
  </si>
  <si>
    <t>ORD-001058</t>
  </si>
  <si>
    <t>ORD-001059</t>
  </si>
  <si>
    <t>ORD-001060</t>
  </si>
  <si>
    <t>ORD-001061</t>
  </si>
  <si>
    <t>ORD-001062</t>
  </si>
  <si>
    <t>ORD-001063</t>
  </si>
  <si>
    <t>ORD-001064</t>
  </si>
  <si>
    <t>ORD-001065</t>
  </si>
  <si>
    <t>ORD-001066</t>
  </si>
  <si>
    <t>ORD-001067</t>
  </si>
  <si>
    <t>ORD-001068</t>
  </si>
  <si>
    <t>ORD-001069</t>
  </si>
  <si>
    <t>ORD-001070</t>
  </si>
  <si>
    <t>ORD-001071</t>
  </si>
  <si>
    <t>ORD-001072</t>
  </si>
  <si>
    <t>ORD-001073</t>
  </si>
  <si>
    <t>ORD-001074</t>
  </si>
  <si>
    <t>ORD-001075</t>
  </si>
  <si>
    <t>ORD-001076</t>
  </si>
  <si>
    <t>ORD-001077</t>
  </si>
  <si>
    <t>ORD-001078</t>
  </si>
  <si>
    <t>ORD-001079</t>
  </si>
  <si>
    <t>ORD-001080</t>
  </si>
  <si>
    <t>ORD-001081</t>
  </si>
  <si>
    <t>ORD-001082</t>
  </si>
  <si>
    <t>ORD-001083</t>
  </si>
  <si>
    <t>ORD-001084</t>
  </si>
  <si>
    <t>ORD-001085</t>
  </si>
  <si>
    <t>ORD-001086</t>
  </si>
  <si>
    <t>ORD-001087</t>
  </si>
  <si>
    <t>ORD-001088</t>
  </si>
  <si>
    <t>ORD-001089</t>
  </si>
  <si>
    <t>ORD-001090</t>
  </si>
  <si>
    <t>ORD-001091</t>
  </si>
  <si>
    <t>ORD-001092</t>
  </si>
  <si>
    <t>ORD-001093</t>
  </si>
  <si>
    <t>ORD-001094</t>
  </si>
  <si>
    <t>ORD-001095</t>
  </si>
  <si>
    <t>ORD-001096</t>
  </si>
  <si>
    <t>ORD-001097</t>
  </si>
  <si>
    <t>ORD-001098</t>
  </si>
  <si>
    <t>ORD-001099</t>
  </si>
  <si>
    <t>ORD-001100</t>
  </si>
  <si>
    <t>ORD-001101</t>
  </si>
  <si>
    <t>ORD-001102</t>
  </si>
  <si>
    <t>ORD-001103</t>
  </si>
  <si>
    <t>ORD-001104</t>
  </si>
  <si>
    <t>ORD-001105</t>
  </si>
  <si>
    <t>ORD-001106</t>
  </si>
  <si>
    <t>ORD-001107</t>
  </si>
  <si>
    <t>ORD-001108</t>
  </si>
  <si>
    <t>ORD-001109</t>
  </si>
  <si>
    <t>ORD-001110</t>
  </si>
  <si>
    <t>ORD-001111</t>
  </si>
  <si>
    <t>ORD-001112</t>
  </si>
  <si>
    <t>ORD-001113</t>
  </si>
  <si>
    <t>ORD-001114</t>
  </si>
  <si>
    <t>ORD-001115</t>
  </si>
  <si>
    <t>ORD-001116</t>
  </si>
  <si>
    <t>ORD-001117</t>
  </si>
  <si>
    <t>ORD-001118</t>
  </si>
  <si>
    <t>ORD-001119</t>
  </si>
  <si>
    <t>ORD-001120</t>
  </si>
  <si>
    <t>ORD-001121</t>
  </si>
  <si>
    <t>ORD-001122</t>
  </si>
  <si>
    <t>ORD-001123</t>
  </si>
  <si>
    <t>ORD-001124</t>
  </si>
  <si>
    <t>ORD-001125</t>
  </si>
  <si>
    <t>ORD-001126</t>
  </si>
  <si>
    <t>ORD-001127</t>
  </si>
  <si>
    <t>ORD-001128</t>
  </si>
  <si>
    <t>ORD-001129</t>
  </si>
  <si>
    <t>ORD-001130</t>
  </si>
  <si>
    <t>ORD-001131</t>
  </si>
  <si>
    <t>ORD-001132</t>
  </si>
  <si>
    <t>ORD-001133</t>
  </si>
  <si>
    <t>ORD-001134</t>
  </si>
  <si>
    <t>ORD-001135</t>
  </si>
  <si>
    <t>ORD-001136</t>
  </si>
  <si>
    <t>ORD-001137</t>
  </si>
  <si>
    <t>ORD-001138</t>
  </si>
  <si>
    <t>ORD-001139</t>
  </si>
  <si>
    <t>ORD-001140</t>
  </si>
  <si>
    <t>ORD-001141</t>
  </si>
  <si>
    <t>ORD-001142</t>
  </si>
  <si>
    <t>ORD-001143</t>
  </si>
  <si>
    <t>ORD-001144</t>
  </si>
  <si>
    <t>ORD-001145</t>
  </si>
  <si>
    <t>ORD-001146</t>
  </si>
  <si>
    <t>ORD-001147</t>
  </si>
  <si>
    <t>ORD-001148</t>
  </si>
  <si>
    <t>ORD-001149</t>
  </si>
  <si>
    <t>ORD-001150</t>
  </si>
  <si>
    <t>ORD-001151</t>
  </si>
  <si>
    <t>ORD-001152</t>
  </si>
  <si>
    <t>ORD-001153</t>
  </si>
  <si>
    <t>ORD-001154</t>
  </si>
  <si>
    <t>ORD-001155</t>
  </si>
  <si>
    <t>ORD-001156</t>
  </si>
  <si>
    <t>ORD-001157</t>
  </si>
  <si>
    <t>ORD-001158</t>
  </si>
  <si>
    <t>ORD-001159</t>
  </si>
  <si>
    <t>ORD-001160</t>
  </si>
  <si>
    <t>ORD-001161</t>
  </si>
  <si>
    <t>ORD-001162</t>
  </si>
  <si>
    <t>ORD-001163</t>
  </si>
  <si>
    <t>ORD-001164</t>
  </si>
  <si>
    <t>ORD-001165</t>
  </si>
  <si>
    <t>ORD-001166</t>
  </si>
  <si>
    <t>ORD-001167</t>
  </si>
  <si>
    <t>ORD-001168</t>
  </si>
  <si>
    <t>ORD-001169</t>
  </si>
  <si>
    <t>ORD-001170</t>
  </si>
  <si>
    <t>ORD-001171</t>
  </si>
  <si>
    <t>ORD-001172</t>
  </si>
  <si>
    <t>ORD-001173</t>
  </si>
  <si>
    <t>ORD-001174</t>
  </si>
  <si>
    <t>ORD-001175</t>
  </si>
  <si>
    <t>ORD-001176</t>
  </si>
  <si>
    <t>ORD-001177</t>
  </si>
  <si>
    <t>ORD-001178</t>
  </si>
  <si>
    <t>ORD-001179</t>
  </si>
  <si>
    <t>ORD-001180</t>
  </si>
  <si>
    <t>ORD-001181</t>
  </si>
  <si>
    <t>ORD-001182</t>
  </si>
  <si>
    <t>ORD-001183</t>
  </si>
  <si>
    <t>ORD-001184</t>
  </si>
  <si>
    <t>ORD-001185</t>
  </si>
  <si>
    <t>ORD-001186</t>
  </si>
  <si>
    <t>ORD-001187</t>
  </si>
  <si>
    <t>ORD-001188</t>
  </si>
  <si>
    <t>ORD-001189</t>
  </si>
  <si>
    <t>ORD-001190</t>
  </si>
  <si>
    <t>ORD-001191</t>
  </si>
  <si>
    <t>ORD-001192</t>
  </si>
  <si>
    <t>ORD-001193</t>
  </si>
  <si>
    <t>ORD-001194</t>
  </si>
  <si>
    <t>ORD-001195</t>
  </si>
  <si>
    <t>ORD-001196</t>
  </si>
  <si>
    <t>ORD-001197</t>
  </si>
  <si>
    <t>ORD-001198</t>
  </si>
  <si>
    <t>ORD-001199</t>
  </si>
  <si>
    <t>ORD-001200</t>
  </si>
  <si>
    <t>ORD-001201</t>
  </si>
  <si>
    <t>ORD-001202</t>
  </si>
  <si>
    <t>ORD-001203</t>
  </si>
  <si>
    <t>ORD-001204</t>
  </si>
  <si>
    <t>ORD-001205</t>
  </si>
  <si>
    <t>ORD-001206</t>
  </si>
  <si>
    <t>ORD-001207</t>
  </si>
  <si>
    <t>ORD-001208</t>
  </si>
  <si>
    <t>ORD-001209</t>
  </si>
  <si>
    <t>ORD-001210</t>
  </si>
  <si>
    <t>ORD-001211</t>
  </si>
  <si>
    <t>ORD-001212</t>
  </si>
  <si>
    <t>ORD-001213</t>
  </si>
  <si>
    <t>ORD-001214</t>
  </si>
  <si>
    <t>ORD-001215</t>
  </si>
  <si>
    <t>ORD-001216</t>
  </si>
  <si>
    <t>ORD-001217</t>
  </si>
  <si>
    <t>ORD-001218</t>
  </si>
  <si>
    <t>ORD-001219</t>
  </si>
  <si>
    <t>ORD-001220</t>
  </si>
  <si>
    <t>ORD-001221</t>
  </si>
  <si>
    <t>ORD-001222</t>
  </si>
  <si>
    <t>ORD-001223</t>
  </si>
  <si>
    <t>ORD-001224</t>
  </si>
  <si>
    <t>ORD-001225</t>
  </si>
  <si>
    <t>ORD-001226</t>
  </si>
  <si>
    <t>ORD-001227</t>
  </si>
  <si>
    <t>ORD-001228</t>
  </si>
  <si>
    <t>ORD-001229</t>
  </si>
  <si>
    <t>ORD-001230</t>
  </si>
  <si>
    <t>ORD-001231</t>
  </si>
  <si>
    <t>ORD-001232</t>
  </si>
  <si>
    <t>ORD-001233</t>
  </si>
  <si>
    <t>ORD-001234</t>
  </si>
  <si>
    <t>ORD-001235</t>
  </si>
  <si>
    <t>ORD-001236</t>
  </si>
  <si>
    <t>ORD-001237</t>
  </si>
  <si>
    <t>ORD-001238</t>
  </si>
  <si>
    <t>ORD-001239</t>
  </si>
  <si>
    <t>ORD-001240</t>
  </si>
  <si>
    <t>ORD-001241</t>
  </si>
  <si>
    <t>ORD-001242</t>
  </si>
  <si>
    <t>ORD-001243</t>
  </si>
  <si>
    <t>ORD-001244</t>
  </si>
  <si>
    <t>ORD-001245</t>
  </si>
  <si>
    <t>ORD-001246</t>
  </si>
  <si>
    <t>ORD-001247</t>
  </si>
  <si>
    <t>ORD-001248</t>
  </si>
  <si>
    <t>ORD-001249</t>
  </si>
  <si>
    <t>ORD-001250</t>
  </si>
  <si>
    <t>ORD-001251</t>
  </si>
  <si>
    <t>ORD-001252</t>
  </si>
  <si>
    <t>ORD-001253</t>
  </si>
  <si>
    <t>ORD-001254</t>
  </si>
  <si>
    <t>ORD-001255</t>
  </si>
  <si>
    <t>ORD-001256</t>
  </si>
  <si>
    <t>ORD-001257</t>
  </si>
  <si>
    <t>ORD-001258</t>
  </si>
  <si>
    <t>ORD-001259</t>
  </si>
  <si>
    <t>ORD-001260</t>
  </si>
  <si>
    <t>ORD-001261</t>
  </si>
  <si>
    <t>ORD-001262</t>
  </si>
  <si>
    <t>ORD-001263</t>
  </si>
  <si>
    <t>ORD-001264</t>
  </si>
  <si>
    <t>ORD-001265</t>
  </si>
  <si>
    <t>ORD-001266</t>
  </si>
  <si>
    <t>ORD-001267</t>
  </si>
  <si>
    <t>ORD-001268</t>
  </si>
  <si>
    <t>ORD-001269</t>
  </si>
  <si>
    <t>ORD-001270</t>
  </si>
  <si>
    <t>ORD-001271</t>
  </si>
  <si>
    <t>ORD-001272</t>
  </si>
  <si>
    <t>ORD-001273</t>
  </si>
  <si>
    <t>ORD-001274</t>
  </si>
  <si>
    <t>ORD-001275</t>
  </si>
  <si>
    <t>ORD-001276</t>
  </si>
  <si>
    <t>ORD-001277</t>
  </si>
  <si>
    <t>ORD-001278</t>
  </si>
  <si>
    <t>ORD-001279</t>
  </si>
  <si>
    <t>ORD-001280</t>
  </si>
  <si>
    <t>ORD-001281</t>
  </si>
  <si>
    <t>ORD-001282</t>
  </si>
  <si>
    <t>ORD-001283</t>
  </si>
  <si>
    <t>ORD-001284</t>
  </si>
  <si>
    <t>ORD-001285</t>
  </si>
  <si>
    <t>ORD-001286</t>
  </si>
  <si>
    <t>ORD-001287</t>
  </si>
  <si>
    <t>ORD-001288</t>
  </si>
  <si>
    <t>ORD-001289</t>
  </si>
  <si>
    <t>ORD-001290</t>
  </si>
  <si>
    <t>ORD-001291</t>
  </si>
  <si>
    <t>ORD-001292</t>
  </si>
  <si>
    <t>ORD-001293</t>
  </si>
  <si>
    <t>ORD-001294</t>
  </si>
  <si>
    <t>ORD-001295</t>
  </si>
  <si>
    <t>ORD-001296</t>
  </si>
  <si>
    <t>ORD-001297</t>
  </si>
  <si>
    <t>ORD-001298</t>
  </si>
  <si>
    <t>ORD-001299</t>
  </si>
  <si>
    <t>ORD-001300</t>
  </si>
  <si>
    <t>ORD-001301</t>
  </si>
  <si>
    <t>ORD-001302</t>
  </si>
  <si>
    <t>ORD-001303</t>
  </si>
  <si>
    <t>ORD-001304</t>
  </si>
  <si>
    <t>ORD-001305</t>
  </si>
  <si>
    <t>ORD-001306</t>
  </si>
  <si>
    <t>ORD-001307</t>
  </si>
  <si>
    <t>ORD-001308</t>
  </si>
  <si>
    <t>ORD-001309</t>
  </si>
  <si>
    <t>ORD-001310</t>
  </si>
  <si>
    <t>ORD-001311</t>
  </si>
  <si>
    <t>ORD-001312</t>
  </si>
  <si>
    <t>ORD-001313</t>
  </si>
  <si>
    <t>ORD-001314</t>
  </si>
  <si>
    <t>ORD-001315</t>
  </si>
  <si>
    <t>ORD-001316</t>
  </si>
  <si>
    <t>ORD-001317</t>
  </si>
  <si>
    <t>ORD-001318</t>
  </si>
  <si>
    <t>ORD-001319</t>
  </si>
  <si>
    <t>ORD-001320</t>
  </si>
  <si>
    <t>ORD-001321</t>
  </si>
  <si>
    <t>ORD-001322</t>
  </si>
  <si>
    <t>ORD-001323</t>
  </si>
  <si>
    <t>ORD-001324</t>
  </si>
  <si>
    <t>ORD-001325</t>
  </si>
  <si>
    <t>ORD-001326</t>
  </si>
  <si>
    <t>ORD-001327</t>
  </si>
  <si>
    <t>ORD-001328</t>
  </si>
  <si>
    <t>ORD-001329</t>
  </si>
  <si>
    <t>ORD-001330</t>
  </si>
  <si>
    <t>ORD-001331</t>
  </si>
  <si>
    <t>ORD-001332</t>
  </si>
  <si>
    <t>ORD-001333</t>
  </si>
  <si>
    <t>ORD-001334</t>
  </si>
  <si>
    <t>ORD-001335</t>
  </si>
  <si>
    <t>ORD-001336</t>
  </si>
  <si>
    <t>ORD-001337</t>
  </si>
  <si>
    <t>ORD-001338</t>
  </si>
  <si>
    <t>ORD-001339</t>
  </si>
  <si>
    <t>ORD-001340</t>
  </si>
  <si>
    <t>ORD-001341</t>
  </si>
  <si>
    <t>ORD-001342</t>
  </si>
  <si>
    <t>ORD-001343</t>
  </si>
  <si>
    <t>ORD-001344</t>
  </si>
  <si>
    <t>ORD-001345</t>
  </si>
  <si>
    <t>ORD-001346</t>
  </si>
  <si>
    <t>ORD-001347</t>
  </si>
  <si>
    <t>ORD-001348</t>
  </si>
  <si>
    <t>ORD-001349</t>
  </si>
  <si>
    <t>ORD-001350</t>
  </si>
  <si>
    <t>ORD-001351</t>
  </si>
  <si>
    <t>ORD-001352</t>
  </si>
  <si>
    <t>ORD-001353</t>
  </si>
  <si>
    <t>ORD-001354</t>
  </si>
  <si>
    <t>ORD-001355</t>
  </si>
  <si>
    <t>ORD-001356</t>
  </si>
  <si>
    <t>ORD-001357</t>
  </si>
  <si>
    <t>ORD-001358</t>
  </si>
  <si>
    <t>ORD-001359</t>
  </si>
  <si>
    <t>ORD-001360</t>
  </si>
  <si>
    <t>ORD-001361</t>
  </si>
  <si>
    <t>ORD-001362</t>
  </si>
  <si>
    <t>ORD-001363</t>
  </si>
  <si>
    <t>ORD-001364</t>
  </si>
  <si>
    <t>ORD-001365</t>
  </si>
  <si>
    <t>ORD-001366</t>
  </si>
  <si>
    <t>ORD-001367</t>
  </si>
  <si>
    <t>ORD-001368</t>
  </si>
  <si>
    <t>ORD-001369</t>
  </si>
  <si>
    <t>ORD-001370</t>
  </si>
  <si>
    <t>ORD-001371</t>
  </si>
  <si>
    <t>ORD-001372</t>
  </si>
  <si>
    <t>ORD-001373</t>
  </si>
  <si>
    <t>ORD-001374</t>
  </si>
  <si>
    <t>ORD-001375</t>
  </si>
  <si>
    <t>ORD-001376</t>
  </si>
  <si>
    <t>ORD-001377</t>
  </si>
  <si>
    <t>ORD-001378</t>
  </si>
  <si>
    <t>ORD-001379</t>
  </si>
  <si>
    <t>ORD-001380</t>
  </si>
  <si>
    <t>ORD-001381</t>
  </si>
  <si>
    <t>ORD-001382</t>
  </si>
  <si>
    <t>ORD-001383</t>
  </si>
  <si>
    <t>ORD-001384</t>
  </si>
  <si>
    <t>ORD-001385</t>
  </si>
  <si>
    <t>ORD-001386</t>
  </si>
  <si>
    <t>ORD-001387</t>
  </si>
  <si>
    <t>ORD-001388</t>
  </si>
  <si>
    <t>ORD-001389</t>
  </si>
  <si>
    <t>ORD-001390</t>
  </si>
  <si>
    <t>ORD-001391</t>
  </si>
  <si>
    <t>ORD-001392</t>
  </si>
  <si>
    <t>ORD-001393</t>
  </si>
  <si>
    <t>ORD-001394</t>
  </si>
  <si>
    <t>ORD-001395</t>
  </si>
  <si>
    <t>ORD-001396</t>
  </si>
  <si>
    <t>ORD-001397</t>
  </si>
  <si>
    <t>ORD-001398</t>
  </si>
  <si>
    <t>ORD-001399</t>
  </si>
  <si>
    <t>ORD-001400</t>
  </si>
  <si>
    <t>ORD-001401</t>
  </si>
  <si>
    <t>ORD-001402</t>
  </si>
  <si>
    <t>ORD-001403</t>
  </si>
  <si>
    <t>ORD-001404</t>
  </si>
  <si>
    <t>ORD-001405</t>
  </si>
  <si>
    <t>ORD-001406</t>
  </si>
  <si>
    <t>ORD-001407</t>
  </si>
  <si>
    <t>ORD-001408</t>
  </si>
  <si>
    <t>ORD-001409</t>
  </si>
  <si>
    <t>ORD-001410</t>
  </si>
  <si>
    <t>ORD-001411</t>
  </si>
  <si>
    <t>ORD-001412</t>
  </si>
  <si>
    <t>ORD-001413</t>
  </si>
  <si>
    <t>ORD-001414</t>
  </si>
  <si>
    <t>ORD-001415</t>
  </si>
  <si>
    <t>ORD-001416</t>
  </si>
  <si>
    <t>ORD-001417</t>
  </si>
  <si>
    <t>ORD-001418</t>
  </si>
  <si>
    <t>ORD-001419</t>
  </si>
  <si>
    <t>ORD-001420</t>
  </si>
  <si>
    <t>ORD-001421</t>
  </si>
  <si>
    <t>ORD-001422</t>
  </si>
  <si>
    <t>ORD-001423</t>
  </si>
  <si>
    <t>ORD-001424</t>
  </si>
  <si>
    <t>ORD-001425</t>
  </si>
  <si>
    <t>ORD-001426</t>
  </si>
  <si>
    <t>ORD-001427</t>
  </si>
  <si>
    <t>ORD-001428</t>
  </si>
  <si>
    <t>ORD-001429</t>
  </si>
  <si>
    <t>ORD-001430</t>
  </si>
  <si>
    <t>ORD-001431</t>
  </si>
  <si>
    <t>Account 001</t>
  </si>
  <si>
    <t>Account 002</t>
  </si>
  <si>
    <t>Account 003</t>
  </si>
  <si>
    <t>Account 004</t>
  </si>
  <si>
    <t>Account 005</t>
  </si>
  <si>
    <t>Account 006</t>
  </si>
  <si>
    <t>Account 007</t>
  </si>
  <si>
    <t>Account 008</t>
  </si>
  <si>
    <t>Account 009</t>
  </si>
  <si>
    <t>Account 010</t>
  </si>
  <si>
    <t>Account 011</t>
  </si>
  <si>
    <t>Account 012</t>
  </si>
  <si>
    <t>Account 013</t>
  </si>
  <si>
    <t>Account 014</t>
  </si>
  <si>
    <t>Account 015</t>
  </si>
  <si>
    <t>Account 016</t>
  </si>
  <si>
    <t>Account 017</t>
  </si>
  <si>
    <t>Account 018</t>
  </si>
  <si>
    <t>Account 019</t>
  </si>
  <si>
    <t>Account 020</t>
  </si>
  <si>
    <t>Account 021</t>
  </si>
  <si>
    <t>Account 022</t>
  </si>
  <si>
    <t>Account 023</t>
  </si>
  <si>
    <t>Account 024</t>
  </si>
  <si>
    <t>Account 025</t>
  </si>
  <si>
    <t>Account 026</t>
  </si>
  <si>
    <t>Account 030</t>
  </si>
  <si>
    <t>Account 031</t>
  </si>
  <si>
    <t>Account 032</t>
  </si>
  <si>
    <t>Account 033</t>
  </si>
  <si>
    <t>Account 034</t>
  </si>
  <si>
    <t>Account 035</t>
  </si>
  <si>
    <t>Account 036</t>
  </si>
  <si>
    <t>Account 037</t>
  </si>
  <si>
    <t>Account 038</t>
  </si>
  <si>
    <t>Account 039</t>
  </si>
  <si>
    <t>Account 040</t>
  </si>
  <si>
    <t>Account 041</t>
  </si>
  <si>
    <t>Account 042</t>
  </si>
  <si>
    <t>Account 043</t>
  </si>
  <si>
    <t>Account 044</t>
  </si>
  <si>
    <t>Account 045</t>
  </si>
  <si>
    <t>Account 046</t>
  </si>
  <si>
    <t>Account 047</t>
  </si>
  <si>
    <t>Account 049</t>
  </si>
  <si>
    <t>Account 050</t>
  </si>
  <si>
    <t>Account 051</t>
  </si>
  <si>
    <t>Account 052</t>
  </si>
  <si>
    <t>Account 053</t>
  </si>
  <si>
    <t>Account 054</t>
  </si>
  <si>
    <t>Account 055</t>
  </si>
  <si>
    <t>Account 056</t>
  </si>
  <si>
    <t>Account 057</t>
  </si>
  <si>
    <t>Account 058</t>
  </si>
  <si>
    <t>Account 059</t>
  </si>
  <si>
    <t>Account 060</t>
  </si>
  <si>
    <t>Account 061</t>
  </si>
  <si>
    <t>Account 062</t>
  </si>
  <si>
    <t>Account 063</t>
  </si>
  <si>
    <t>Account 064</t>
  </si>
  <si>
    <t>Account 065</t>
  </si>
  <si>
    <t>Account 066</t>
  </si>
  <si>
    <t>Account 067</t>
  </si>
  <si>
    <t>Account 068</t>
  </si>
  <si>
    <t>Account 069</t>
  </si>
  <si>
    <t>Account 072</t>
  </si>
  <si>
    <t>Account 073</t>
  </si>
  <si>
    <t>Account 074</t>
  </si>
  <si>
    <t>Account 075</t>
  </si>
  <si>
    <t>Account 076</t>
  </si>
  <si>
    <t>Account 077</t>
  </si>
  <si>
    <t>Account 079</t>
  </si>
  <si>
    <t>Account 080</t>
  </si>
  <si>
    <t>Account 083</t>
  </si>
  <si>
    <t>Account 084</t>
  </si>
  <si>
    <t>Account 085</t>
  </si>
  <si>
    <t>Account 086</t>
  </si>
  <si>
    <t>Account 087</t>
  </si>
  <si>
    <t>Account 088</t>
  </si>
  <si>
    <t>Account 089</t>
  </si>
  <si>
    <t>Account 090</t>
  </si>
  <si>
    <t>Account 091</t>
  </si>
  <si>
    <t>Account 092</t>
  </si>
  <si>
    <t>Account 093</t>
  </si>
  <si>
    <t>Account 094</t>
  </si>
  <si>
    <t>Account 096</t>
  </si>
  <si>
    <t>Account 097</t>
  </si>
  <si>
    <t>Account 098</t>
  </si>
  <si>
    <t>Account 102</t>
  </si>
  <si>
    <t>Account 103</t>
  </si>
  <si>
    <t>Account 104</t>
  </si>
  <si>
    <t>Account 105</t>
  </si>
  <si>
    <t>Account 106</t>
  </si>
  <si>
    <t>Order Pay</t>
  </si>
  <si>
    <t>Portfolio Account Name</t>
  </si>
  <si>
    <t>Row Labels</t>
  </si>
  <si>
    <t>Grand Total</t>
  </si>
  <si>
    <t>Column Labels</t>
  </si>
  <si>
    <t>Count of Order Pay</t>
  </si>
  <si>
    <t>Customer Status</t>
  </si>
  <si>
    <t>Account Name</t>
  </si>
  <si>
    <t>Total Q1 orders</t>
  </si>
  <si>
    <t>Metric</t>
  </si>
  <si>
    <t>Result</t>
  </si>
  <si>
    <t>Total accounts analysed</t>
  </si>
  <si>
    <t>Churned accounts</t>
  </si>
  <si>
    <t>Q1 orders from churned accounts</t>
  </si>
  <si>
    <t>Churned accounts as % of total accounts</t>
  </si>
  <si>
    <t>CHURNED SUMMARY</t>
  </si>
  <si>
    <t>Churned Volume Share (%)</t>
  </si>
  <si>
    <t>Total Q3 orders</t>
  </si>
  <si>
    <t>Critical decline accounts</t>
  </si>
  <si>
    <t>% of total Q1 order volume</t>
  </si>
  <si>
    <t>Q1–Q3 order decline</t>
  </si>
  <si>
    <t>Critical decline accounts SUMMARY</t>
  </si>
  <si>
    <t>At-risk accounts</t>
  </si>
  <si>
    <t>Share of total Q1 order volume</t>
  </si>
  <si>
    <t>At-risk account summary</t>
  </si>
  <si>
    <t>New trial accounts</t>
  </si>
  <si>
    <t>Average Q3 orders per account</t>
  </si>
  <si>
    <t>New Trial accounts summary</t>
  </si>
  <si>
    <t>No of accounts</t>
  </si>
  <si>
    <t>total q1</t>
  </si>
  <si>
    <t>total q3</t>
  </si>
  <si>
    <t>total summary</t>
  </si>
  <si>
    <t>Overall Q1–Q3 order growth</t>
  </si>
  <si>
    <t>Q1 orders from at-risk accounts</t>
  </si>
  <si>
    <t>Q3 orders from at-risk accounts</t>
  </si>
  <si>
    <t>Decline in at-risk account orders</t>
  </si>
  <si>
    <t>KPIS</t>
  </si>
  <si>
    <t>VALUE</t>
  </si>
  <si>
    <t>Total Customer Account</t>
  </si>
  <si>
    <t>Q1 Total Orders</t>
  </si>
  <si>
    <t>Q3 Total Orders</t>
  </si>
  <si>
    <t>Order Volume Growth</t>
  </si>
  <si>
    <t>At-Risk Accounts</t>
  </si>
  <si>
    <t>At-Risk Account Rate</t>
  </si>
  <si>
    <t>Total Customer Accounts</t>
  </si>
  <si>
    <t>At-Risk Order Decline</t>
  </si>
  <si>
    <t xml:space="preserve">Order Growth Volume </t>
  </si>
  <si>
    <t>No of At-Risk Accounts</t>
  </si>
  <si>
    <t>Customer Segment</t>
  </si>
  <si>
    <t>Number of Accounts</t>
  </si>
  <si>
    <t>Still Churned</t>
  </si>
  <si>
    <t>Critical Decline</t>
  </si>
  <si>
    <t>New Trial Accounts</t>
  </si>
  <si>
    <t>Inactive / Other</t>
  </si>
  <si>
    <t>Total Orders</t>
  </si>
  <si>
    <t>Total Q2 orders</t>
  </si>
  <si>
    <t>At-Risk Category</t>
  </si>
  <si>
    <t>Accounts</t>
  </si>
  <si>
    <t>Select Customer Segment</t>
  </si>
  <si>
    <t>All</t>
  </si>
  <si>
    <t>Q2 total order count</t>
  </si>
  <si>
    <t>STRIDEWEAR FOOTWEAR</t>
  </si>
  <si>
    <t>CUSTOMER RETENTION &amp; SALES RECOVERY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</si>
</sst>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1F1F1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20"/>
      <color rgb="FF17365D"/>
      <name val="Aptos Display"/>
      <family val="2"/>
      <scheme val="major"/>
    </font>
    <font>
      <sz val="11"/>
      <color theme="2" tint="-0.89999084444715716"/>
      <name val="Aptos Display"/>
      <family val="2"/>
      <scheme val="major"/>
    </font>
    <font>
      <b/>
      <sz val="11"/>
      <color theme="2" tint="-0.89999084444715716"/>
      <name val="Aptos Display"/>
      <family val="2"/>
      <scheme val="major"/>
    </font>
    <font>
      <b/>
      <sz val="13"/>
      <color rgb="FF17365D"/>
      <name val="Aptos Display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E2F3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F5F7FA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pivotButton="1"/>
    <xf numFmtId="9" fontId="0" fillId="0" borderId="0" xfId="1" applyFont="1"/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1" fontId="0" fillId="0" borderId="0" xfId="0" applyNumberFormat="1"/>
    <xf numFmtId="164" fontId="0" fillId="0" borderId="0" xfId="1" applyNumberFormat="1" applyFont="1"/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0" fillId="3" borderId="6" xfId="0" applyFill="1" applyBorder="1" applyAlignment="1">
      <alignment vertical="center" wrapText="1"/>
    </xf>
    <xf numFmtId="0" fontId="0" fillId="3" borderId="7" xfId="0" applyFill="1" applyBorder="1" applyAlignment="1">
      <alignment horizontal="right"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horizontal="right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horizontal="right" vertical="center" wrapText="1"/>
    </xf>
    <xf numFmtId="0" fontId="0" fillId="3" borderId="4" xfId="0" applyFill="1" applyBorder="1" applyAlignment="1">
      <alignment vertical="center" wrapText="1"/>
    </xf>
    <xf numFmtId="0" fontId="0" fillId="3" borderId="5" xfId="0" applyFill="1" applyBorder="1" applyAlignment="1">
      <alignment horizontal="right" vertical="center" wrapText="1"/>
    </xf>
    <xf numFmtId="0" fontId="0" fillId="6" borderId="0" xfId="0" applyFill="1"/>
    <xf numFmtId="0" fontId="7" fillId="6" borderId="0" xfId="0" applyFont="1" applyFill="1" applyAlignment="1">
      <alignment horizontal="left"/>
    </xf>
    <xf numFmtId="0" fontId="8" fillId="6" borderId="0" xfId="0" applyFont="1" applyFill="1" applyAlignment="1">
      <alignment horizontal="left"/>
    </xf>
    <xf numFmtId="0" fontId="9" fillId="6" borderId="0" xfId="0" applyFont="1" applyFill="1" applyAlignment="1">
      <alignment horizontal="left"/>
    </xf>
    <xf numFmtId="0" fontId="3" fillId="0" borderId="0" xfId="0" applyFont="1"/>
    <xf numFmtId="0" fontId="10" fillId="6" borderId="0" xfId="0" applyFont="1" applyFill="1" applyAlignment="1">
      <alignment horizontal="left"/>
    </xf>
    <xf numFmtId="164" fontId="6" fillId="5" borderId="1" xfId="1" applyNumberFormat="1" applyFont="1" applyFill="1" applyBorder="1" applyAlignment="1">
      <alignment horizontal="center"/>
    </xf>
    <xf numFmtId="164" fontId="6" fillId="5" borderId="2" xfId="1" applyNumberFormat="1" applyFont="1" applyFill="1" applyBorder="1" applyAlignment="1">
      <alignment horizontal="center"/>
    </xf>
    <xf numFmtId="164" fontId="6" fillId="5" borderId="3" xfId="1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1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17365D"/>
      <color rgb="FFD9E2F3"/>
      <color rgb="FFF5F7FA"/>
      <color rgb="FF8497B0"/>
      <color rgb="FFFFFFFF"/>
      <color rgb="FF1F1F1F"/>
      <color rgb="FF00897B"/>
      <color rgb="FF7E5109"/>
      <color rgb="FFFDEBD0"/>
      <color rgb="FF7828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G" sz="1400" b="1" i="0" u="none" strike="noStrike" baseline="0"/>
              <a:t>Quarterly Order Volume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Data'!$F$3</c:f>
              <c:strCache>
                <c:ptCount val="1"/>
                <c:pt idx="0">
                  <c:v>Total Orders</c:v>
                </c:pt>
              </c:strCache>
            </c:strRef>
          </c:tx>
          <c:spPr>
            <a:solidFill>
              <a:srgbClr val="17365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Data'!$E$4:$E$6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'Chart Data'!$F$4:$F$6</c:f>
              <c:numCache>
                <c:formatCode>General</c:formatCode>
                <c:ptCount val="3"/>
                <c:pt idx="0">
                  <c:v>524</c:v>
                </c:pt>
                <c:pt idx="1">
                  <c:v>339</c:v>
                </c:pt>
                <c:pt idx="2">
                  <c:v>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90-4D80-8391-C50BB1B19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0055648"/>
        <c:axId val="1387784368"/>
      </c:barChart>
      <c:catAx>
        <c:axId val="134005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87784368"/>
        <c:crosses val="autoZero"/>
        <c:auto val="1"/>
        <c:lblAlgn val="ctr"/>
        <c:lblOffset val="100"/>
        <c:noMultiLvlLbl val="0"/>
      </c:catAx>
      <c:valAx>
        <c:axId val="13877843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40055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G" sz="1400" b="1" i="0" u="none" strike="noStrike" baseline="0"/>
              <a:t>At-Risk Accounts by Category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888554458116761"/>
          <c:y val="0.29941692129613445"/>
          <c:w val="0.7364728497345342"/>
          <c:h val="0.361529137090556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'Chart Data'!$F$9</c:f>
              <c:strCache>
                <c:ptCount val="1"/>
                <c:pt idx="0">
                  <c:v>Accounts</c:v>
                </c:pt>
              </c:strCache>
            </c:strRef>
          </c:tx>
          <c:spPr>
            <a:solidFill>
              <a:srgbClr val="17365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Data'!$E$10:$E$11</c:f>
              <c:strCache>
                <c:ptCount val="2"/>
                <c:pt idx="0">
                  <c:v>Still Churned</c:v>
                </c:pt>
                <c:pt idx="1">
                  <c:v>Critical Decline</c:v>
                </c:pt>
              </c:strCache>
            </c:strRef>
          </c:cat>
          <c:val>
            <c:numRef>
              <c:f>'Chart Data'!$F$10:$F$11</c:f>
              <c:numCache>
                <c:formatCode>General</c:formatCode>
                <c:ptCount val="2"/>
                <c:pt idx="0">
                  <c:v>23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79-401B-A28B-178069828E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10616416"/>
        <c:axId val="1387781488"/>
      </c:barChart>
      <c:catAx>
        <c:axId val="1310616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87781488"/>
        <c:crosses val="autoZero"/>
        <c:auto val="1"/>
        <c:lblAlgn val="ctr"/>
        <c:lblOffset val="100"/>
        <c:noMultiLvlLbl val="0"/>
      </c:catAx>
      <c:valAx>
        <c:axId val="13877814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10616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Accounts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'Recovery Analysis'!$B$27</c:f>
              <c:strCache>
                <c:ptCount val="1"/>
                <c:pt idx="0">
                  <c:v>Number of Accounts</c:v>
                </c:pt>
              </c:strCache>
            </c:strRef>
          </c:tx>
          <c:spPr>
            <a:solidFill>
              <a:srgbClr val="17365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'Recovery Analysis'!$A$28:$A$33</c:f>
              <c:strCache>
                <c:ptCount val="6"/>
                <c:pt idx="0">
                  <c:v>Stable / Active</c:v>
                </c:pt>
                <c:pt idx="1">
                  <c:v>Still Churned</c:v>
                </c:pt>
                <c:pt idx="2">
                  <c:v>New Trial Accounts</c:v>
                </c:pt>
                <c:pt idx="3">
                  <c:v>Critical Decline</c:v>
                </c:pt>
                <c:pt idx="4">
                  <c:v>Recovered in Q3</c:v>
                </c:pt>
                <c:pt idx="5">
                  <c:v>Inactive / Other</c:v>
                </c:pt>
              </c:strCache>
            </c:strRef>
          </c:cat>
          <c:val>
            <c:numRef>
              <c:f>'Recovery Analysis'!$B$28:$B$33</c:f>
              <c:numCache>
                <c:formatCode>General</c:formatCode>
                <c:ptCount val="6"/>
                <c:pt idx="0">
                  <c:v>37</c:v>
                </c:pt>
                <c:pt idx="1">
                  <c:v>23</c:v>
                </c:pt>
                <c:pt idx="2">
                  <c:v>13</c:v>
                </c:pt>
                <c:pt idx="3">
                  <c:v>8</c:v>
                </c:pt>
                <c:pt idx="4">
                  <c:v>6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BA-43F8-8DCC-C3BD2AB451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10594608"/>
        <c:axId val="1387772848"/>
      </c:barChart>
      <c:catAx>
        <c:axId val="131059460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87772848"/>
        <c:crosses val="autoZero"/>
        <c:auto val="1"/>
        <c:lblAlgn val="ctr"/>
        <c:lblOffset val="100"/>
        <c:noMultiLvlLbl val="0"/>
      </c:catAx>
      <c:valAx>
        <c:axId val="1387772848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310594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597845</xdr:colOff>
      <xdr:row>8</xdr:row>
      <xdr:rowOff>127613</xdr:rowOff>
    </xdr:from>
    <xdr:to>
      <xdr:col>10</xdr:col>
      <xdr:colOff>237653</xdr:colOff>
      <xdr:row>17</xdr:row>
      <xdr:rowOff>78494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6FD956-FBC8-C4A3-49F0-19DC1CDCC7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594840</xdr:colOff>
      <xdr:row>17</xdr:row>
      <xdr:rowOff>115694</xdr:rowOff>
    </xdr:from>
    <xdr:to>
      <xdr:col>5</xdr:col>
      <xdr:colOff>492125</xdr:colOff>
      <xdr:row>23</xdr:row>
      <xdr:rowOff>166689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9A21D1-DBCA-14DE-3AB0-693DA6FB0E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579438</xdr:colOff>
      <xdr:row>8</xdr:row>
      <xdr:rowOff>128267</xdr:rowOff>
    </xdr:from>
    <xdr:to>
      <xdr:col>5</xdr:col>
      <xdr:colOff>492816</xdr:colOff>
      <xdr:row>17</xdr:row>
      <xdr:rowOff>56444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4447C3-EAA6-471E-B8BC-2590C944E4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nnifer Francis" refreshedDate="46309.713815972224" createdVersion="8" refreshedVersion="8" minRefreshableVersion="3" recordCount="1431" xr:uid="{75592423-D118-4441-A561-13E1EEA2BF8A}">
  <cacheSource type="worksheet">
    <worksheetSource name="Table6"/>
  </cacheSource>
  <cacheFields count="5">
    <cacheField name="Order Id" numFmtId="0">
      <sharedItems/>
    </cacheField>
    <cacheField name="Portfolio Account Name" numFmtId="0">
      <sharedItems count="93">
        <s v="Account 001"/>
        <s v="Account 002"/>
        <s v="Account 003"/>
        <s v="Account 004"/>
        <s v="Account 005"/>
        <s v="Account 006"/>
        <s v="Account 007"/>
        <s v="Account 008"/>
        <s v="Account 009"/>
        <s v="Account 010"/>
        <s v="Account 011"/>
        <s v="Account 012"/>
        <s v="Account 013"/>
        <s v="Account 014"/>
        <s v="Account 015"/>
        <s v="Account 016"/>
        <s v="Account 017"/>
        <s v="Account 018"/>
        <s v="Account 019"/>
        <s v="Account 020"/>
        <s v="Account 021"/>
        <s v="Account 022"/>
        <s v="Account 023"/>
        <s v="Account 024"/>
        <s v="Account 025"/>
        <s v="Account 026"/>
        <s v="Account 030"/>
        <s v="Account 031"/>
        <s v="Account 032"/>
        <s v="Account 033"/>
        <s v="Account 034"/>
        <s v="Account 035"/>
        <s v="Account 036"/>
        <s v="Account 037"/>
        <s v="Account 038"/>
        <s v="Account 039"/>
        <s v="Account 040"/>
        <s v="Account 041"/>
        <s v="Account 042"/>
        <s v="Account 043"/>
        <s v="Account 044"/>
        <s v="Account 045"/>
        <s v="Account 046"/>
        <s v="Account 047"/>
        <s v="Account 049"/>
        <s v="Account 050"/>
        <s v="Account 051"/>
        <s v="Account 052"/>
        <s v="Account 053"/>
        <s v="Account 054"/>
        <s v="Account 055"/>
        <s v="Account 056"/>
        <s v="Account 057"/>
        <s v="Account 058"/>
        <s v="Account 059"/>
        <s v="Account 060"/>
        <s v="Account 061"/>
        <s v="Account 062"/>
        <s v="Account 063"/>
        <s v="Account 064"/>
        <s v="Account 065"/>
        <s v="Account 066"/>
        <s v="Account 067"/>
        <s v="Account 068"/>
        <s v="Account 069"/>
        <s v="Account 072"/>
        <s v="Account 073"/>
        <s v="Account 074"/>
        <s v="Account 075"/>
        <s v="Account 076"/>
        <s v="Account 077"/>
        <s v="Account 079"/>
        <s v="Account 080"/>
        <s v="Account 083"/>
        <s v="Account 084"/>
        <s v="Account 085"/>
        <s v="Account 086"/>
        <s v="Account 087"/>
        <s v="Account 088"/>
        <s v="Account 089"/>
        <s v="Account 090"/>
        <s v="Account 091"/>
        <s v="Account 092"/>
        <s v="Account 093"/>
        <s v="Account 094"/>
        <s v="Account 096"/>
        <s v="Account 097"/>
        <s v="Account 098"/>
        <s v="Account 102"/>
        <s v="Account 103"/>
        <s v="Account 104"/>
        <s v="Account 105"/>
        <s v="Account 106"/>
      </sharedItems>
    </cacheField>
    <cacheField name="Portfolio Parent customer Code" numFmtId="0">
      <sharedItems/>
    </cacheField>
    <cacheField name="Order Pay" numFmtId="0">
      <sharedItems containsSemiMixedTypes="0" containsString="0" containsNumber="1" containsInteger="1" minValue="0" maxValue="1987800"/>
    </cacheField>
    <cacheField name="Quarter" numFmtId="0">
      <sharedItems count="3">
        <s v="Q1"/>
        <s v="Q2"/>
        <s v="Q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1">
  <r>
    <s v="ORD-000001"/>
    <x v="0"/>
    <s v="PA-001"/>
    <n v="66100"/>
    <x v="0"/>
  </r>
  <r>
    <s v="ORD-000002"/>
    <x v="1"/>
    <s v="PA-002"/>
    <n v="113300"/>
    <x v="0"/>
  </r>
  <r>
    <s v="ORD-000003"/>
    <x v="1"/>
    <s v="PA-002"/>
    <n v="92500"/>
    <x v="0"/>
  </r>
  <r>
    <s v="ORD-000004"/>
    <x v="2"/>
    <s v="PA-003"/>
    <n v="141300"/>
    <x v="0"/>
  </r>
  <r>
    <s v="ORD-000005"/>
    <x v="3"/>
    <s v="PA-004"/>
    <n v="52500"/>
    <x v="0"/>
  </r>
  <r>
    <s v="ORD-000006"/>
    <x v="3"/>
    <s v="PA-004"/>
    <n v="204600"/>
    <x v="0"/>
  </r>
  <r>
    <s v="ORD-000007"/>
    <x v="4"/>
    <s v="PA-005"/>
    <n v="131900"/>
    <x v="0"/>
  </r>
  <r>
    <s v="ORD-000008"/>
    <x v="5"/>
    <s v="PA-006"/>
    <n v="49300"/>
    <x v="0"/>
  </r>
  <r>
    <s v="ORD-000009"/>
    <x v="6"/>
    <s v="PA-007"/>
    <n v="52000"/>
    <x v="0"/>
  </r>
  <r>
    <s v="ORD-000010"/>
    <x v="6"/>
    <s v="PA-007"/>
    <n v="39400"/>
    <x v="0"/>
  </r>
  <r>
    <s v="ORD-000011"/>
    <x v="7"/>
    <s v="PA-008"/>
    <n v="102000"/>
    <x v="0"/>
  </r>
  <r>
    <s v="ORD-000012"/>
    <x v="8"/>
    <s v="PA-009"/>
    <n v="41400"/>
    <x v="0"/>
  </r>
  <r>
    <s v="ORD-000013"/>
    <x v="9"/>
    <s v="PA-010"/>
    <n v="55700"/>
    <x v="0"/>
  </r>
  <r>
    <s v="ORD-000014"/>
    <x v="8"/>
    <s v="PA-009"/>
    <n v="69300"/>
    <x v="0"/>
  </r>
  <r>
    <s v="ORD-000015"/>
    <x v="6"/>
    <s v="PA-007"/>
    <n v="43100"/>
    <x v="0"/>
  </r>
  <r>
    <s v="ORD-000016"/>
    <x v="6"/>
    <s v="PA-007"/>
    <n v="59700"/>
    <x v="0"/>
  </r>
  <r>
    <s v="ORD-000017"/>
    <x v="6"/>
    <s v="PA-007"/>
    <n v="50900"/>
    <x v="0"/>
  </r>
  <r>
    <s v="ORD-000018"/>
    <x v="4"/>
    <s v="PA-005"/>
    <n v="248100"/>
    <x v="0"/>
  </r>
  <r>
    <s v="ORD-000019"/>
    <x v="7"/>
    <s v="PA-008"/>
    <n v="219500"/>
    <x v="0"/>
  </r>
  <r>
    <s v="ORD-000020"/>
    <x v="9"/>
    <s v="PA-010"/>
    <n v="45000"/>
    <x v="0"/>
  </r>
  <r>
    <s v="ORD-000021"/>
    <x v="10"/>
    <s v="PA-011"/>
    <n v="135300"/>
    <x v="0"/>
  </r>
  <r>
    <s v="ORD-000022"/>
    <x v="11"/>
    <s v="PA-012"/>
    <n v="56200"/>
    <x v="0"/>
  </r>
  <r>
    <s v="ORD-000023"/>
    <x v="11"/>
    <s v="PA-012"/>
    <n v="66900"/>
    <x v="0"/>
  </r>
  <r>
    <s v="ORD-000024"/>
    <x v="11"/>
    <s v="PA-012"/>
    <n v="60800"/>
    <x v="0"/>
  </r>
  <r>
    <s v="ORD-000025"/>
    <x v="12"/>
    <s v="PA-013"/>
    <n v="160600"/>
    <x v="0"/>
  </r>
  <r>
    <s v="ORD-000026"/>
    <x v="12"/>
    <s v="PA-013"/>
    <n v="178500"/>
    <x v="0"/>
  </r>
  <r>
    <s v="ORD-000027"/>
    <x v="4"/>
    <s v="PA-005"/>
    <n v="53600"/>
    <x v="0"/>
  </r>
  <r>
    <s v="ORD-000028"/>
    <x v="6"/>
    <s v="PA-007"/>
    <n v="55300"/>
    <x v="0"/>
  </r>
  <r>
    <s v="ORD-000029"/>
    <x v="6"/>
    <s v="PA-007"/>
    <n v="45700"/>
    <x v="0"/>
  </r>
  <r>
    <s v="ORD-000030"/>
    <x v="6"/>
    <s v="PA-007"/>
    <n v="60100"/>
    <x v="0"/>
  </r>
  <r>
    <s v="ORD-000031"/>
    <x v="13"/>
    <s v="PA-014"/>
    <n v="63700"/>
    <x v="0"/>
  </r>
  <r>
    <s v="ORD-000032"/>
    <x v="5"/>
    <s v="PA-006"/>
    <n v="59600"/>
    <x v="0"/>
  </r>
  <r>
    <s v="ORD-000033"/>
    <x v="5"/>
    <s v="PA-006"/>
    <n v="47800"/>
    <x v="0"/>
  </r>
  <r>
    <s v="ORD-000034"/>
    <x v="6"/>
    <s v="PA-007"/>
    <n v="46400"/>
    <x v="0"/>
  </r>
  <r>
    <s v="ORD-000035"/>
    <x v="0"/>
    <s v="PA-001"/>
    <n v="43100"/>
    <x v="0"/>
  </r>
  <r>
    <s v="ORD-000036"/>
    <x v="14"/>
    <s v="PA-015"/>
    <n v="151000"/>
    <x v="0"/>
  </r>
  <r>
    <s v="ORD-000037"/>
    <x v="15"/>
    <s v="PA-016"/>
    <n v="123500"/>
    <x v="0"/>
  </r>
  <r>
    <s v="ORD-000038"/>
    <x v="16"/>
    <s v="PA-017"/>
    <n v="59000"/>
    <x v="0"/>
  </r>
  <r>
    <s v="ORD-000039"/>
    <x v="17"/>
    <s v="PA-018"/>
    <n v="252000"/>
    <x v="0"/>
  </r>
  <r>
    <s v="ORD-000040"/>
    <x v="18"/>
    <s v="PA-019"/>
    <n v="59600"/>
    <x v="0"/>
  </r>
  <r>
    <s v="ORD-000041"/>
    <x v="17"/>
    <s v="PA-018"/>
    <n v="60200"/>
    <x v="0"/>
  </r>
  <r>
    <s v="ORD-000042"/>
    <x v="19"/>
    <s v="PA-020"/>
    <n v="150600"/>
    <x v="0"/>
  </r>
  <r>
    <s v="ORD-000043"/>
    <x v="11"/>
    <s v="PA-012"/>
    <n v="102800"/>
    <x v="0"/>
  </r>
  <r>
    <s v="ORD-000044"/>
    <x v="17"/>
    <s v="PA-018"/>
    <n v="57500"/>
    <x v="0"/>
  </r>
  <r>
    <s v="ORD-000045"/>
    <x v="20"/>
    <s v="PA-021"/>
    <n v="196600"/>
    <x v="0"/>
  </r>
  <r>
    <s v="ORD-000046"/>
    <x v="20"/>
    <s v="PA-021"/>
    <n v="192500"/>
    <x v="0"/>
  </r>
  <r>
    <s v="ORD-000047"/>
    <x v="20"/>
    <s v="PA-021"/>
    <n v="147700"/>
    <x v="0"/>
  </r>
  <r>
    <s v="ORD-000048"/>
    <x v="20"/>
    <s v="PA-021"/>
    <n v="200900"/>
    <x v="0"/>
  </r>
  <r>
    <s v="ORD-000049"/>
    <x v="20"/>
    <s v="PA-021"/>
    <n v="175800"/>
    <x v="0"/>
  </r>
  <r>
    <s v="ORD-000050"/>
    <x v="20"/>
    <s v="PA-021"/>
    <n v="211400"/>
    <x v="0"/>
  </r>
  <r>
    <s v="ORD-000051"/>
    <x v="21"/>
    <s v="PA-022"/>
    <n v="28300"/>
    <x v="0"/>
  </r>
  <r>
    <s v="ORD-000052"/>
    <x v="5"/>
    <s v="PA-006"/>
    <n v="49100"/>
    <x v="0"/>
  </r>
  <r>
    <s v="ORD-000053"/>
    <x v="5"/>
    <s v="PA-006"/>
    <n v="41000"/>
    <x v="0"/>
  </r>
  <r>
    <s v="ORD-000054"/>
    <x v="5"/>
    <s v="PA-006"/>
    <n v="62800"/>
    <x v="0"/>
  </r>
  <r>
    <s v="ORD-000055"/>
    <x v="22"/>
    <s v="PA-023"/>
    <n v="119700"/>
    <x v="0"/>
  </r>
  <r>
    <s v="ORD-000056"/>
    <x v="23"/>
    <s v="PA-024"/>
    <n v="31100"/>
    <x v="0"/>
  </r>
  <r>
    <s v="ORD-000057"/>
    <x v="4"/>
    <s v="PA-005"/>
    <n v="138700"/>
    <x v="0"/>
  </r>
  <r>
    <s v="ORD-000058"/>
    <x v="24"/>
    <s v="PA-025"/>
    <n v="45300"/>
    <x v="0"/>
  </r>
  <r>
    <s v="ORD-000059"/>
    <x v="8"/>
    <s v="PA-009"/>
    <n v="57300"/>
    <x v="0"/>
  </r>
  <r>
    <s v="ORD-000060"/>
    <x v="17"/>
    <s v="PA-018"/>
    <n v="5300"/>
    <x v="0"/>
  </r>
  <r>
    <s v="ORD-000061"/>
    <x v="6"/>
    <s v="PA-007"/>
    <n v="5000"/>
    <x v="0"/>
  </r>
  <r>
    <s v="ORD-000062"/>
    <x v="9"/>
    <s v="PA-010"/>
    <n v="13100"/>
    <x v="0"/>
  </r>
  <r>
    <s v="ORD-000063"/>
    <x v="25"/>
    <s v="PA-026"/>
    <n v="2100"/>
    <x v="0"/>
  </r>
  <r>
    <s v="ORD-000064"/>
    <x v="24"/>
    <s v="PA-025"/>
    <n v="6700"/>
    <x v="0"/>
  </r>
  <r>
    <s v="ORD-000065"/>
    <x v="21"/>
    <s v="PA-022"/>
    <n v="8400"/>
    <x v="0"/>
  </r>
  <r>
    <s v="ORD-000066"/>
    <x v="6"/>
    <s v="PA-007"/>
    <n v="7200"/>
    <x v="0"/>
  </r>
  <r>
    <s v="ORD-000067"/>
    <x v="0"/>
    <s v="PA-001"/>
    <n v="11500"/>
    <x v="0"/>
  </r>
  <r>
    <s v="ORD-000068"/>
    <x v="26"/>
    <s v="PA-030"/>
    <n v="126200"/>
    <x v="0"/>
  </r>
  <r>
    <s v="ORD-000069"/>
    <x v="13"/>
    <s v="PA-014"/>
    <n v="54000"/>
    <x v="0"/>
  </r>
  <r>
    <s v="ORD-000070"/>
    <x v="4"/>
    <s v="PA-005"/>
    <n v="104000"/>
    <x v="0"/>
  </r>
  <r>
    <s v="ORD-000071"/>
    <x v="27"/>
    <s v="PA-031"/>
    <n v="45000"/>
    <x v="0"/>
  </r>
  <r>
    <s v="ORD-000072"/>
    <x v="24"/>
    <s v="PA-025"/>
    <n v="58500"/>
    <x v="0"/>
  </r>
  <r>
    <s v="ORD-000073"/>
    <x v="4"/>
    <s v="PA-005"/>
    <n v="141700"/>
    <x v="0"/>
  </r>
  <r>
    <s v="ORD-000074"/>
    <x v="4"/>
    <s v="PA-005"/>
    <n v="58100"/>
    <x v="0"/>
  </r>
  <r>
    <s v="ORD-000075"/>
    <x v="4"/>
    <s v="PA-005"/>
    <n v="92400"/>
    <x v="0"/>
  </r>
  <r>
    <s v="ORD-000076"/>
    <x v="24"/>
    <s v="PA-025"/>
    <n v="60200"/>
    <x v="0"/>
  </r>
  <r>
    <s v="ORD-000077"/>
    <x v="24"/>
    <s v="PA-025"/>
    <n v="67500"/>
    <x v="0"/>
  </r>
  <r>
    <s v="ORD-000078"/>
    <x v="6"/>
    <s v="PA-007"/>
    <n v="40500"/>
    <x v="0"/>
  </r>
  <r>
    <s v="ORD-000079"/>
    <x v="11"/>
    <s v="PA-012"/>
    <n v="48500"/>
    <x v="0"/>
  </r>
  <r>
    <s v="ORD-000080"/>
    <x v="24"/>
    <s v="PA-025"/>
    <n v="54400"/>
    <x v="0"/>
  </r>
  <r>
    <s v="ORD-000081"/>
    <x v="24"/>
    <s v="PA-025"/>
    <n v="67600"/>
    <x v="0"/>
  </r>
  <r>
    <s v="ORD-000082"/>
    <x v="24"/>
    <s v="PA-025"/>
    <n v="50900"/>
    <x v="0"/>
  </r>
  <r>
    <s v="ORD-000083"/>
    <x v="4"/>
    <s v="PA-005"/>
    <n v="59200"/>
    <x v="0"/>
  </r>
  <r>
    <s v="ORD-000084"/>
    <x v="20"/>
    <s v="PA-021"/>
    <n v="161600"/>
    <x v="0"/>
  </r>
  <r>
    <s v="ORD-000085"/>
    <x v="8"/>
    <s v="PA-009"/>
    <n v="50500"/>
    <x v="0"/>
  </r>
  <r>
    <s v="ORD-000086"/>
    <x v="28"/>
    <s v="PA-032"/>
    <n v="477700"/>
    <x v="0"/>
  </r>
  <r>
    <s v="ORD-000087"/>
    <x v="7"/>
    <s v="PA-008"/>
    <n v="75700"/>
    <x v="0"/>
  </r>
  <r>
    <s v="ORD-000088"/>
    <x v="8"/>
    <s v="PA-009"/>
    <n v="46300"/>
    <x v="0"/>
  </r>
  <r>
    <s v="ORD-000089"/>
    <x v="29"/>
    <s v="PA-033"/>
    <n v="41400"/>
    <x v="0"/>
  </r>
  <r>
    <s v="ORD-000090"/>
    <x v="3"/>
    <s v="PA-004"/>
    <n v="54400"/>
    <x v="0"/>
  </r>
  <r>
    <s v="ORD-000091"/>
    <x v="8"/>
    <s v="PA-009"/>
    <n v="62800"/>
    <x v="0"/>
  </r>
  <r>
    <s v="ORD-000092"/>
    <x v="4"/>
    <s v="PA-005"/>
    <n v="50400"/>
    <x v="0"/>
  </r>
  <r>
    <s v="ORD-000093"/>
    <x v="4"/>
    <s v="PA-005"/>
    <n v="50100"/>
    <x v="0"/>
  </r>
  <r>
    <s v="ORD-000094"/>
    <x v="16"/>
    <s v="PA-017"/>
    <n v="67300"/>
    <x v="0"/>
  </r>
  <r>
    <s v="ORD-000095"/>
    <x v="5"/>
    <s v="PA-006"/>
    <n v="44800"/>
    <x v="0"/>
  </r>
  <r>
    <s v="ORD-000096"/>
    <x v="5"/>
    <s v="PA-006"/>
    <n v="45900"/>
    <x v="0"/>
  </r>
  <r>
    <s v="ORD-000097"/>
    <x v="5"/>
    <s v="PA-006"/>
    <n v="47100"/>
    <x v="0"/>
  </r>
  <r>
    <s v="ORD-000098"/>
    <x v="8"/>
    <s v="PA-009"/>
    <n v="56400"/>
    <x v="0"/>
  </r>
  <r>
    <s v="ORD-000099"/>
    <x v="28"/>
    <s v="PA-032"/>
    <n v="267300"/>
    <x v="0"/>
  </r>
  <r>
    <s v="ORD-000100"/>
    <x v="11"/>
    <s v="PA-012"/>
    <n v="35500"/>
    <x v="0"/>
  </r>
  <r>
    <s v="ORD-000101"/>
    <x v="14"/>
    <s v="PA-015"/>
    <n v="32100"/>
    <x v="0"/>
  </r>
  <r>
    <s v="ORD-000102"/>
    <x v="14"/>
    <s v="PA-015"/>
    <n v="62800"/>
    <x v="0"/>
  </r>
  <r>
    <s v="ORD-000103"/>
    <x v="30"/>
    <s v="PA-034"/>
    <n v="45300"/>
    <x v="0"/>
  </r>
  <r>
    <s v="ORD-000104"/>
    <x v="24"/>
    <s v="PA-025"/>
    <n v="62700"/>
    <x v="0"/>
  </r>
  <r>
    <s v="ORD-000105"/>
    <x v="16"/>
    <s v="PA-017"/>
    <n v="57600"/>
    <x v="0"/>
  </r>
  <r>
    <s v="ORD-000106"/>
    <x v="31"/>
    <s v="PA-035"/>
    <n v="117600"/>
    <x v="0"/>
  </r>
  <r>
    <s v="ORD-000107"/>
    <x v="31"/>
    <s v="PA-035"/>
    <n v="45700"/>
    <x v="0"/>
  </r>
  <r>
    <s v="ORD-000108"/>
    <x v="24"/>
    <s v="PA-025"/>
    <n v="46500"/>
    <x v="0"/>
  </r>
  <r>
    <s v="ORD-000109"/>
    <x v="24"/>
    <s v="PA-025"/>
    <n v="75300"/>
    <x v="0"/>
  </r>
  <r>
    <s v="ORD-000110"/>
    <x v="24"/>
    <s v="PA-025"/>
    <n v="75200"/>
    <x v="0"/>
  </r>
  <r>
    <s v="ORD-000111"/>
    <x v="4"/>
    <s v="PA-005"/>
    <n v="73600"/>
    <x v="0"/>
  </r>
  <r>
    <s v="ORD-000112"/>
    <x v="0"/>
    <s v="PA-001"/>
    <n v="58900"/>
    <x v="0"/>
  </r>
  <r>
    <s v="ORD-000113"/>
    <x v="19"/>
    <s v="PA-020"/>
    <n v="186700"/>
    <x v="0"/>
  </r>
  <r>
    <s v="ORD-000114"/>
    <x v="22"/>
    <s v="PA-023"/>
    <n v="52900"/>
    <x v="0"/>
  </r>
  <r>
    <s v="ORD-000115"/>
    <x v="23"/>
    <s v="PA-024"/>
    <n v="55600"/>
    <x v="0"/>
  </r>
  <r>
    <s v="ORD-000116"/>
    <x v="14"/>
    <s v="PA-015"/>
    <n v="80700"/>
    <x v="0"/>
  </r>
  <r>
    <s v="ORD-000117"/>
    <x v="8"/>
    <s v="PA-009"/>
    <n v="201000"/>
    <x v="0"/>
  </r>
  <r>
    <s v="ORD-000118"/>
    <x v="8"/>
    <s v="PA-009"/>
    <n v="49400"/>
    <x v="0"/>
  </r>
  <r>
    <s v="ORD-000119"/>
    <x v="8"/>
    <s v="PA-009"/>
    <n v="27100"/>
    <x v="0"/>
  </r>
  <r>
    <s v="ORD-000120"/>
    <x v="8"/>
    <s v="PA-009"/>
    <n v="31100"/>
    <x v="0"/>
  </r>
  <r>
    <s v="ORD-000121"/>
    <x v="8"/>
    <s v="PA-009"/>
    <n v="130100"/>
    <x v="0"/>
  </r>
  <r>
    <s v="ORD-000122"/>
    <x v="8"/>
    <s v="PA-009"/>
    <n v="44200"/>
    <x v="0"/>
  </r>
  <r>
    <s v="ORD-000123"/>
    <x v="28"/>
    <s v="PA-032"/>
    <n v="111600"/>
    <x v="0"/>
  </r>
  <r>
    <s v="ORD-000124"/>
    <x v="11"/>
    <s v="PA-012"/>
    <n v="37900"/>
    <x v="0"/>
  </r>
  <r>
    <s v="ORD-000125"/>
    <x v="11"/>
    <s v="PA-012"/>
    <n v="56100"/>
    <x v="0"/>
  </r>
  <r>
    <s v="ORD-000126"/>
    <x v="11"/>
    <s v="PA-012"/>
    <n v="49800"/>
    <x v="0"/>
  </r>
  <r>
    <s v="ORD-000127"/>
    <x v="16"/>
    <s v="PA-017"/>
    <n v="74700"/>
    <x v="0"/>
  </r>
  <r>
    <s v="ORD-000128"/>
    <x v="7"/>
    <s v="PA-008"/>
    <n v="261800"/>
    <x v="0"/>
  </r>
  <r>
    <s v="ORD-000129"/>
    <x v="6"/>
    <s v="PA-007"/>
    <n v="63700"/>
    <x v="0"/>
  </r>
  <r>
    <s v="ORD-000130"/>
    <x v="6"/>
    <s v="PA-007"/>
    <n v="181800"/>
    <x v="0"/>
  </r>
  <r>
    <s v="ORD-000131"/>
    <x v="6"/>
    <s v="PA-007"/>
    <n v="59800"/>
    <x v="0"/>
  </r>
  <r>
    <s v="ORD-000132"/>
    <x v="5"/>
    <s v="PA-006"/>
    <n v="37800"/>
    <x v="0"/>
  </r>
  <r>
    <s v="ORD-000133"/>
    <x v="24"/>
    <s v="PA-025"/>
    <n v="50600"/>
    <x v="0"/>
  </r>
  <r>
    <s v="ORD-000134"/>
    <x v="6"/>
    <s v="PA-007"/>
    <n v="39200"/>
    <x v="0"/>
  </r>
  <r>
    <s v="ORD-000135"/>
    <x v="32"/>
    <s v="PA-036"/>
    <n v="39200"/>
    <x v="0"/>
  </r>
  <r>
    <s v="ORD-000136"/>
    <x v="7"/>
    <s v="PA-008"/>
    <n v="146800"/>
    <x v="0"/>
  </r>
  <r>
    <s v="ORD-000137"/>
    <x v="11"/>
    <s v="PA-012"/>
    <n v="52400"/>
    <x v="0"/>
  </r>
  <r>
    <s v="ORD-000138"/>
    <x v="11"/>
    <s v="PA-012"/>
    <n v="46900"/>
    <x v="0"/>
  </r>
  <r>
    <s v="ORD-000139"/>
    <x v="11"/>
    <s v="PA-012"/>
    <n v="21100"/>
    <x v="0"/>
  </r>
  <r>
    <s v="ORD-000140"/>
    <x v="11"/>
    <s v="PA-012"/>
    <n v="31400"/>
    <x v="0"/>
  </r>
  <r>
    <s v="ORD-000141"/>
    <x v="9"/>
    <s v="PA-010"/>
    <n v="54700"/>
    <x v="0"/>
  </r>
  <r>
    <s v="ORD-000142"/>
    <x v="9"/>
    <s v="PA-010"/>
    <n v="59500"/>
    <x v="0"/>
  </r>
  <r>
    <s v="ORD-000143"/>
    <x v="6"/>
    <s v="PA-007"/>
    <n v="206200"/>
    <x v="0"/>
  </r>
  <r>
    <s v="ORD-000144"/>
    <x v="5"/>
    <s v="PA-006"/>
    <n v="38400"/>
    <x v="0"/>
  </r>
  <r>
    <s v="ORD-000145"/>
    <x v="5"/>
    <s v="PA-006"/>
    <n v="58600"/>
    <x v="0"/>
  </r>
  <r>
    <s v="ORD-000146"/>
    <x v="9"/>
    <s v="PA-010"/>
    <n v="102300"/>
    <x v="0"/>
  </r>
  <r>
    <s v="ORD-000147"/>
    <x v="9"/>
    <s v="PA-010"/>
    <n v="33100"/>
    <x v="0"/>
  </r>
  <r>
    <s v="ORD-000148"/>
    <x v="6"/>
    <s v="PA-007"/>
    <n v="46500"/>
    <x v="0"/>
  </r>
  <r>
    <s v="ORD-000149"/>
    <x v="0"/>
    <s v="PA-001"/>
    <n v="72200"/>
    <x v="0"/>
  </r>
  <r>
    <s v="ORD-000150"/>
    <x v="22"/>
    <s v="PA-023"/>
    <n v="212300"/>
    <x v="0"/>
  </r>
  <r>
    <s v="ORD-000151"/>
    <x v="9"/>
    <s v="PA-010"/>
    <n v="58100"/>
    <x v="0"/>
  </r>
  <r>
    <s v="ORD-000152"/>
    <x v="9"/>
    <s v="PA-010"/>
    <n v="58100"/>
    <x v="0"/>
  </r>
  <r>
    <s v="ORD-000153"/>
    <x v="9"/>
    <s v="PA-010"/>
    <n v="57200"/>
    <x v="0"/>
  </r>
  <r>
    <s v="ORD-000154"/>
    <x v="9"/>
    <s v="PA-010"/>
    <n v="76100"/>
    <x v="0"/>
  </r>
  <r>
    <s v="ORD-000155"/>
    <x v="9"/>
    <s v="PA-010"/>
    <n v="183300"/>
    <x v="0"/>
  </r>
  <r>
    <s v="ORD-000156"/>
    <x v="9"/>
    <s v="PA-010"/>
    <n v="189000"/>
    <x v="0"/>
  </r>
  <r>
    <s v="ORD-000157"/>
    <x v="9"/>
    <s v="PA-010"/>
    <n v="46200"/>
    <x v="0"/>
  </r>
  <r>
    <s v="ORD-000158"/>
    <x v="9"/>
    <s v="PA-010"/>
    <n v="64900"/>
    <x v="0"/>
  </r>
  <r>
    <s v="ORD-000159"/>
    <x v="23"/>
    <s v="PA-024"/>
    <n v="67100"/>
    <x v="0"/>
  </r>
  <r>
    <s v="ORD-000160"/>
    <x v="23"/>
    <s v="PA-024"/>
    <n v="64800"/>
    <x v="0"/>
  </r>
  <r>
    <s v="ORD-000161"/>
    <x v="4"/>
    <s v="PA-005"/>
    <n v="48700"/>
    <x v="0"/>
  </r>
  <r>
    <s v="ORD-000162"/>
    <x v="28"/>
    <s v="PA-032"/>
    <n v="46800"/>
    <x v="0"/>
  </r>
  <r>
    <s v="ORD-000163"/>
    <x v="9"/>
    <s v="PA-010"/>
    <n v="191700"/>
    <x v="0"/>
  </r>
  <r>
    <s v="ORD-000164"/>
    <x v="9"/>
    <s v="PA-010"/>
    <n v="139800"/>
    <x v="0"/>
  </r>
  <r>
    <s v="ORD-000165"/>
    <x v="6"/>
    <s v="PA-007"/>
    <n v="292600"/>
    <x v="0"/>
  </r>
  <r>
    <s v="ORD-000166"/>
    <x v="11"/>
    <s v="PA-012"/>
    <n v="47800"/>
    <x v="0"/>
  </r>
  <r>
    <s v="ORD-000167"/>
    <x v="33"/>
    <s v="PA-037"/>
    <n v="50600"/>
    <x v="0"/>
  </r>
  <r>
    <s v="ORD-000168"/>
    <x v="33"/>
    <s v="PA-037"/>
    <n v="50200"/>
    <x v="0"/>
  </r>
  <r>
    <s v="ORD-000169"/>
    <x v="13"/>
    <s v="PA-014"/>
    <n v="60000"/>
    <x v="0"/>
  </r>
  <r>
    <s v="ORD-000170"/>
    <x v="24"/>
    <s v="PA-025"/>
    <n v="59000"/>
    <x v="0"/>
  </r>
  <r>
    <s v="ORD-000171"/>
    <x v="24"/>
    <s v="PA-025"/>
    <n v="131800"/>
    <x v="0"/>
  </r>
  <r>
    <s v="ORD-000172"/>
    <x v="16"/>
    <s v="PA-017"/>
    <n v="56200"/>
    <x v="0"/>
  </r>
  <r>
    <s v="ORD-000173"/>
    <x v="6"/>
    <s v="PA-007"/>
    <n v="50200"/>
    <x v="0"/>
  </r>
  <r>
    <s v="ORD-000174"/>
    <x v="0"/>
    <s v="PA-001"/>
    <n v="29200"/>
    <x v="0"/>
  </r>
  <r>
    <s v="ORD-000175"/>
    <x v="4"/>
    <s v="PA-005"/>
    <n v="102400"/>
    <x v="0"/>
  </r>
  <r>
    <s v="ORD-000176"/>
    <x v="8"/>
    <s v="PA-009"/>
    <n v="109100"/>
    <x v="0"/>
  </r>
  <r>
    <s v="ORD-000177"/>
    <x v="34"/>
    <s v="PA-038"/>
    <n v="64200"/>
    <x v="0"/>
  </r>
  <r>
    <s v="ORD-000178"/>
    <x v="35"/>
    <s v="PA-039"/>
    <n v="43600"/>
    <x v="0"/>
  </r>
  <r>
    <s v="ORD-000179"/>
    <x v="36"/>
    <s v="PA-040"/>
    <n v="144000"/>
    <x v="0"/>
  </r>
  <r>
    <s v="ORD-000180"/>
    <x v="12"/>
    <s v="PA-013"/>
    <n v="176600"/>
    <x v="0"/>
  </r>
  <r>
    <s v="ORD-000181"/>
    <x v="12"/>
    <s v="PA-013"/>
    <n v="202500"/>
    <x v="0"/>
  </r>
  <r>
    <s v="ORD-000182"/>
    <x v="9"/>
    <s v="PA-010"/>
    <n v="0"/>
    <x v="0"/>
  </r>
  <r>
    <s v="ORD-000183"/>
    <x v="9"/>
    <s v="PA-010"/>
    <n v="128300"/>
    <x v="0"/>
  </r>
  <r>
    <s v="ORD-000184"/>
    <x v="5"/>
    <s v="PA-006"/>
    <n v="58100"/>
    <x v="0"/>
  </r>
  <r>
    <s v="ORD-000185"/>
    <x v="0"/>
    <s v="PA-001"/>
    <n v="67600"/>
    <x v="0"/>
  </r>
  <r>
    <s v="ORD-000186"/>
    <x v="5"/>
    <s v="PA-006"/>
    <n v="46400"/>
    <x v="0"/>
  </r>
  <r>
    <s v="ORD-000187"/>
    <x v="37"/>
    <s v="PA-041"/>
    <n v="88100"/>
    <x v="0"/>
  </r>
  <r>
    <s v="ORD-000188"/>
    <x v="9"/>
    <s v="PA-010"/>
    <n v="51400"/>
    <x v="0"/>
  </r>
  <r>
    <s v="ORD-000189"/>
    <x v="9"/>
    <s v="PA-010"/>
    <n v="134200"/>
    <x v="0"/>
  </r>
  <r>
    <s v="ORD-000190"/>
    <x v="9"/>
    <s v="PA-010"/>
    <n v="48100"/>
    <x v="0"/>
  </r>
  <r>
    <s v="ORD-000191"/>
    <x v="9"/>
    <s v="PA-010"/>
    <n v="50700"/>
    <x v="0"/>
  </r>
  <r>
    <s v="ORD-000192"/>
    <x v="9"/>
    <s v="PA-010"/>
    <n v="66100"/>
    <x v="0"/>
  </r>
  <r>
    <s v="ORD-000193"/>
    <x v="9"/>
    <s v="PA-010"/>
    <n v="50500"/>
    <x v="0"/>
  </r>
  <r>
    <s v="ORD-000194"/>
    <x v="11"/>
    <s v="PA-012"/>
    <n v="38100"/>
    <x v="0"/>
  </r>
  <r>
    <s v="ORD-000195"/>
    <x v="17"/>
    <s v="PA-018"/>
    <n v="54400"/>
    <x v="0"/>
  </r>
  <r>
    <s v="ORD-000196"/>
    <x v="24"/>
    <s v="PA-025"/>
    <n v="42800"/>
    <x v="0"/>
  </r>
  <r>
    <s v="ORD-000197"/>
    <x v="38"/>
    <s v="PA-042"/>
    <n v="63800"/>
    <x v="0"/>
  </r>
  <r>
    <s v="ORD-000198"/>
    <x v="38"/>
    <s v="PA-042"/>
    <n v="64500"/>
    <x v="0"/>
  </r>
  <r>
    <s v="ORD-000199"/>
    <x v="39"/>
    <s v="PA-043"/>
    <n v="67600"/>
    <x v="0"/>
  </r>
  <r>
    <s v="ORD-000200"/>
    <x v="40"/>
    <s v="PA-044"/>
    <n v="92700"/>
    <x v="0"/>
  </r>
  <r>
    <s v="ORD-000201"/>
    <x v="41"/>
    <s v="PA-045"/>
    <n v="85300"/>
    <x v="0"/>
  </r>
  <r>
    <s v="ORD-000202"/>
    <x v="5"/>
    <s v="PA-006"/>
    <n v="43500"/>
    <x v="0"/>
  </r>
  <r>
    <s v="ORD-000203"/>
    <x v="16"/>
    <s v="PA-017"/>
    <n v="90600"/>
    <x v="0"/>
  </r>
  <r>
    <s v="ORD-000204"/>
    <x v="16"/>
    <s v="PA-017"/>
    <n v="134400"/>
    <x v="0"/>
  </r>
  <r>
    <s v="ORD-000205"/>
    <x v="16"/>
    <s v="PA-017"/>
    <n v="58000"/>
    <x v="0"/>
  </r>
  <r>
    <s v="ORD-000206"/>
    <x v="16"/>
    <s v="PA-017"/>
    <n v="73300"/>
    <x v="0"/>
  </r>
  <r>
    <s v="ORD-000207"/>
    <x v="16"/>
    <s v="PA-017"/>
    <n v="140800"/>
    <x v="0"/>
  </r>
  <r>
    <s v="ORD-000208"/>
    <x v="6"/>
    <s v="PA-007"/>
    <n v="48600"/>
    <x v="0"/>
  </r>
  <r>
    <s v="ORD-000209"/>
    <x v="28"/>
    <s v="PA-032"/>
    <n v="238000"/>
    <x v="0"/>
  </r>
  <r>
    <s v="ORD-000210"/>
    <x v="4"/>
    <s v="PA-005"/>
    <n v="41800"/>
    <x v="0"/>
  </r>
  <r>
    <s v="ORD-000211"/>
    <x v="4"/>
    <s v="PA-005"/>
    <n v="60600"/>
    <x v="0"/>
  </r>
  <r>
    <s v="ORD-000212"/>
    <x v="22"/>
    <s v="PA-023"/>
    <n v="82800"/>
    <x v="0"/>
  </r>
  <r>
    <s v="ORD-000213"/>
    <x v="36"/>
    <s v="PA-040"/>
    <n v="53400"/>
    <x v="0"/>
  </r>
  <r>
    <s v="ORD-000214"/>
    <x v="6"/>
    <s v="PA-007"/>
    <n v="43900"/>
    <x v="0"/>
  </r>
  <r>
    <s v="ORD-000215"/>
    <x v="6"/>
    <s v="PA-007"/>
    <n v="60900"/>
    <x v="0"/>
  </r>
  <r>
    <s v="ORD-000216"/>
    <x v="6"/>
    <s v="PA-007"/>
    <n v="181100"/>
    <x v="0"/>
  </r>
  <r>
    <s v="ORD-000217"/>
    <x v="8"/>
    <s v="PA-009"/>
    <n v="0"/>
    <x v="0"/>
  </r>
  <r>
    <s v="ORD-000218"/>
    <x v="28"/>
    <s v="PA-032"/>
    <n v="451500"/>
    <x v="0"/>
  </r>
  <r>
    <s v="ORD-000219"/>
    <x v="24"/>
    <s v="PA-025"/>
    <n v="43600"/>
    <x v="0"/>
  </r>
  <r>
    <s v="ORD-000220"/>
    <x v="20"/>
    <s v="PA-021"/>
    <n v="150500"/>
    <x v="0"/>
  </r>
  <r>
    <s v="ORD-000221"/>
    <x v="34"/>
    <s v="PA-038"/>
    <n v="114900"/>
    <x v="0"/>
  </r>
  <r>
    <s v="ORD-000222"/>
    <x v="33"/>
    <s v="PA-037"/>
    <n v="60200"/>
    <x v="0"/>
  </r>
  <r>
    <s v="ORD-000223"/>
    <x v="7"/>
    <s v="PA-008"/>
    <n v="67000"/>
    <x v="0"/>
  </r>
  <r>
    <s v="ORD-000224"/>
    <x v="42"/>
    <s v="PA-046"/>
    <n v="183800"/>
    <x v="0"/>
  </r>
  <r>
    <s v="ORD-000225"/>
    <x v="24"/>
    <s v="PA-025"/>
    <n v="50400"/>
    <x v="0"/>
  </r>
  <r>
    <s v="ORD-000226"/>
    <x v="6"/>
    <s v="PA-007"/>
    <n v="61600"/>
    <x v="0"/>
  </r>
  <r>
    <s v="ORD-000227"/>
    <x v="6"/>
    <s v="PA-007"/>
    <n v="237100"/>
    <x v="0"/>
  </r>
  <r>
    <s v="ORD-000228"/>
    <x v="28"/>
    <s v="PA-032"/>
    <n v="414100"/>
    <x v="0"/>
  </r>
  <r>
    <s v="ORD-000229"/>
    <x v="43"/>
    <s v="PA-047"/>
    <n v="100100"/>
    <x v="0"/>
  </r>
  <r>
    <s v="ORD-000230"/>
    <x v="4"/>
    <s v="PA-005"/>
    <n v="48900"/>
    <x v="0"/>
  </r>
  <r>
    <s v="ORD-000231"/>
    <x v="4"/>
    <s v="PA-005"/>
    <n v="68100"/>
    <x v="0"/>
  </r>
  <r>
    <s v="ORD-000232"/>
    <x v="4"/>
    <s v="PA-005"/>
    <n v="47400"/>
    <x v="0"/>
  </r>
  <r>
    <s v="ORD-000233"/>
    <x v="9"/>
    <s v="PA-010"/>
    <n v="38100"/>
    <x v="0"/>
  </r>
  <r>
    <s v="ORD-000234"/>
    <x v="16"/>
    <s v="PA-017"/>
    <n v="225500"/>
    <x v="0"/>
  </r>
  <r>
    <s v="ORD-000235"/>
    <x v="9"/>
    <s v="PA-010"/>
    <n v="52400"/>
    <x v="0"/>
  </r>
  <r>
    <s v="ORD-000236"/>
    <x v="9"/>
    <s v="PA-010"/>
    <n v="245700"/>
    <x v="0"/>
  </r>
  <r>
    <s v="ORD-000237"/>
    <x v="9"/>
    <s v="PA-010"/>
    <n v="67700"/>
    <x v="0"/>
  </r>
  <r>
    <s v="ORD-000238"/>
    <x v="9"/>
    <s v="PA-010"/>
    <n v="168000"/>
    <x v="0"/>
  </r>
  <r>
    <s v="ORD-000239"/>
    <x v="24"/>
    <s v="PA-025"/>
    <n v="93000"/>
    <x v="0"/>
  </r>
  <r>
    <s v="ORD-000240"/>
    <x v="24"/>
    <s v="PA-025"/>
    <n v="62200"/>
    <x v="0"/>
  </r>
  <r>
    <s v="ORD-000241"/>
    <x v="24"/>
    <s v="PA-025"/>
    <n v="61700"/>
    <x v="0"/>
  </r>
  <r>
    <s v="ORD-000242"/>
    <x v="24"/>
    <s v="PA-025"/>
    <n v="120500"/>
    <x v="0"/>
  </r>
  <r>
    <s v="ORD-000243"/>
    <x v="24"/>
    <s v="PA-025"/>
    <n v="48800"/>
    <x v="0"/>
  </r>
  <r>
    <s v="ORD-000244"/>
    <x v="24"/>
    <s v="PA-025"/>
    <n v="120300"/>
    <x v="0"/>
  </r>
  <r>
    <s v="ORD-000245"/>
    <x v="24"/>
    <s v="PA-025"/>
    <n v="65200"/>
    <x v="0"/>
  </r>
  <r>
    <s v="ORD-000246"/>
    <x v="27"/>
    <s v="PA-031"/>
    <n v="132800"/>
    <x v="0"/>
  </r>
  <r>
    <s v="ORD-000247"/>
    <x v="8"/>
    <s v="PA-009"/>
    <n v="46400"/>
    <x v="0"/>
  </r>
  <r>
    <s v="ORD-000248"/>
    <x v="34"/>
    <s v="PA-038"/>
    <n v="178000"/>
    <x v="0"/>
  </r>
  <r>
    <s v="ORD-000249"/>
    <x v="5"/>
    <s v="PA-006"/>
    <n v="41200"/>
    <x v="0"/>
  </r>
  <r>
    <s v="ORD-000250"/>
    <x v="17"/>
    <s v="PA-018"/>
    <n v="36000"/>
    <x v="0"/>
  </r>
  <r>
    <s v="ORD-000251"/>
    <x v="44"/>
    <s v="PA-049"/>
    <n v="59400"/>
    <x v="0"/>
  </r>
  <r>
    <s v="ORD-000252"/>
    <x v="44"/>
    <s v="PA-049"/>
    <n v="57100"/>
    <x v="0"/>
  </r>
  <r>
    <s v="ORD-000253"/>
    <x v="44"/>
    <s v="PA-049"/>
    <n v="71900"/>
    <x v="0"/>
  </r>
  <r>
    <s v="ORD-000254"/>
    <x v="4"/>
    <s v="PA-005"/>
    <n v="46200"/>
    <x v="0"/>
  </r>
  <r>
    <s v="ORD-000255"/>
    <x v="4"/>
    <s v="PA-005"/>
    <n v="75600"/>
    <x v="0"/>
  </r>
  <r>
    <s v="ORD-000256"/>
    <x v="4"/>
    <s v="PA-005"/>
    <n v="72100"/>
    <x v="0"/>
  </r>
  <r>
    <s v="ORD-000257"/>
    <x v="9"/>
    <s v="PA-010"/>
    <n v="56900"/>
    <x v="0"/>
  </r>
  <r>
    <s v="ORD-000258"/>
    <x v="9"/>
    <s v="PA-010"/>
    <n v="55100"/>
    <x v="0"/>
  </r>
  <r>
    <s v="ORD-000259"/>
    <x v="9"/>
    <s v="PA-010"/>
    <n v="60700"/>
    <x v="0"/>
  </r>
  <r>
    <s v="ORD-000260"/>
    <x v="9"/>
    <s v="PA-010"/>
    <n v="55700"/>
    <x v="0"/>
  </r>
  <r>
    <s v="ORD-000261"/>
    <x v="8"/>
    <s v="PA-009"/>
    <n v="151700"/>
    <x v="0"/>
  </r>
  <r>
    <s v="ORD-000262"/>
    <x v="6"/>
    <s v="PA-007"/>
    <n v="45100"/>
    <x v="0"/>
  </r>
  <r>
    <s v="ORD-000263"/>
    <x v="45"/>
    <s v="PA-050"/>
    <n v="45200"/>
    <x v="0"/>
  </r>
  <r>
    <s v="ORD-000264"/>
    <x v="8"/>
    <s v="PA-009"/>
    <n v="45100"/>
    <x v="0"/>
  </r>
  <r>
    <s v="ORD-000265"/>
    <x v="6"/>
    <s v="PA-007"/>
    <n v="56500"/>
    <x v="0"/>
  </r>
  <r>
    <s v="ORD-000266"/>
    <x v="16"/>
    <s v="PA-017"/>
    <n v="62400"/>
    <x v="0"/>
  </r>
  <r>
    <s v="ORD-000267"/>
    <x v="16"/>
    <s v="PA-017"/>
    <n v="54500"/>
    <x v="0"/>
  </r>
  <r>
    <s v="ORD-000268"/>
    <x v="16"/>
    <s v="PA-017"/>
    <n v="58600"/>
    <x v="0"/>
  </r>
  <r>
    <s v="ORD-000269"/>
    <x v="16"/>
    <s v="PA-017"/>
    <n v="66300"/>
    <x v="0"/>
  </r>
  <r>
    <s v="ORD-000270"/>
    <x v="16"/>
    <s v="PA-017"/>
    <n v="56300"/>
    <x v="0"/>
  </r>
  <r>
    <s v="ORD-000271"/>
    <x v="8"/>
    <s v="PA-009"/>
    <n v="176300"/>
    <x v="0"/>
  </r>
  <r>
    <s v="ORD-000272"/>
    <x v="9"/>
    <s v="PA-010"/>
    <n v="69200"/>
    <x v="0"/>
  </r>
  <r>
    <s v="ORD-000273"/>
    <x v="9"/>
    <s v="PA-010"/>
    <n v="50100"/>
    <x v="0"/>
  </r>
  <r>
    <s v="ORD-000274"/>
    <x v="4"/>
    <s v="PA-005"/>
    <n v="74200"/>
    <x v="0"/>
  </r>
  <r>
    <s v="ORD-000275"/>
    <x v="24"/>
    <s v="PA-025"/>
    <n v="42400"/>
    <x v="0"/>
  </r>
  <r>
    <s v="ORD-000276"/>
    <x v="24"/>
    <s v="PA-025"/>
    <n v="60400"/>
    <x v="0"/>
  </r>
  <r>
    <s v="ORD-000277"/>
    <x v="24"/>
    <s v="PA-025"/>
    <n v="73900"/>
    <x v="0"/>
  </r>
  <r>
    <s v="ORD-000278"/>
    <x v="22"/>
    <s v="PA-023"/>
    <n v="58600"/>
    <x v="0"/>
  </r>
  <r>
    <s v="ORD-000279"/>
    <x v="22"/>
    <s v="PA-023"/>
    <n v="55800"/>
    <x v="0"/>
  </r>
  <r>
    <s v="ORD-000280"/>
    <x v="22"/>
    <s v="PA-023"/>
    <n v="46200"/>
    <x v="0"/>
  </r>
  <r>
    <s v="ORD-000281"/>
    <x v="22"/>
    <s v="PA-023"/>
    <n v="65600"/>
    <x v="0"/>
  </r>
  <r>
    <s v="ORD-000282"/>
    <x v="22"/>
    <s v="PA-023"/>
    <n v="51400"/>
    <x v="0"/>
  </r>
  <r>
    <s v="ORD-000283"/>
    <x v="28"/>
    <s v="PA-032"/>
    <n v="179900"/>
    <x v="0"/>
  </r>
  <r>
    <s v="ORD-000284"/>
    <x v="24"/>
    <s v="PA-025"/>
    <n v="52900"/>
    <x v="0"/>
  </r>
  <r>
    <s v="ORD-000285"/>
    <x v="46"/>
    <s v="PA-051"/>
    <n v="300900"/>
    <x v="0"/>
  </r>
  <r>
    <s v="ORD-000286"/>
    <x v="47"/>
    <s v="PA-052"/>
    <n v="32700"/>
    <x v="0"/>
  </r>
  <r>
    <s v="ORD-000287"/>
    <x v="46"/>
    <s v="PA-051"/>
    <n v="303500"/>
    <x v="0"/>
  </r>
  <r>
    <s v="ORD-000288"/>
    <x v="22"/>
    <s v="PA-023"/>
    <n v="52100"/>
    <x v="0"/>
  </r>
  <r>
    <s v="ORD-000289"/>
    <x v="22"/>
    <s v="PA-023"/>
    <n v="46900"/>
    <x v="0"/>
  </r>
  <r>
    <s v="ORD-000290"/>
    <x v="48"/>
    <s v="PA-053"/>
    <n v="157000"/>
    <x v="0"/>
  </r>
  <r>
    <s v="ORD-000291"/>
    <x v="6"/>
    <s v="PA-007"/>
    <n v="57300"/>
    <x v="0"/>
  </r>
  <r>
    <s v="ORD-000292"/>
    <x v="6"/>
    <s v="PA-007"/>
    <n v="51500"/>
    <x v="0"/>
  </r>
  <r>
    <s v="ORD-000293"/>
    <x v="9"/>
    <s v="PA-010"/>
    <n v="52800"/>
    <x v="0"/>
  </r>
  <r>
    <s v="ORD-000294"/>
    <x v="9"/>
    <s v="PA-010"/>
    <n v="76500"/>
    <x v="0"/>
  </r>
  <r>
    <s v="ORD-000295"/>
    <x v="9"/>
    <s v="PA-010"/>
    <n v="59100"/>
    <x v="0"/>
  </r>
  <r>
    <s v="ORD-000296"/>
    <x v="9"/>
    <s v="PA-010"/>
    <n v="126700"/>
    <x v="0"/>
  </r>
  <r>
    <s v="ORD-000297"/>
    <x v="9"/>
    <s v="PA-010"/>
    <n v="45300"/>
    <x v="0"/>
  </r>
  <r>
    <s v="ORD-000298"/>
    <x v="9"/>
    <s v="PA-010"/>
    <n v="47800"/>
    <x v="0"/>
  </r>
  <r>
    <s v="ORD-000299"/>
    <x v="40"/>
    <s v="PA-044"/>
    <n v="44000"/>
    <x v="0"/>
  </r>
  <r>
    <s v="ORD-000300"/>
    <x v="49"/>
    <s v="PA-054"/>
    <n v="113300"/>
    <x v="0"/>
  </r>
  <r>
    <s v="ORD-000301"/>
    <x v="17"/>
    <s v="PA-018"/>
    <n v="68600"/>
    <x v="0"/>
  </r>
  <r>
    <s v="ORD-000302"/>
    <x v="16"/>
    <s v="PA-017"/>
    <n v="23900"/>
    <x v="0"/>
  </r>
  <r>
    <s v="ORD-000303"/>
    <x v="16"/>
    <s v="PA-017"/>
    <n v="51300"/>
    <x v="0"/>
  </r>
  <r>
    <s v="ORD-000304"/>
    <x v="16"/>
    <s v="PA-017"/>
    <n v="55300"/>
    <x v="0"/>
  </r>
  <r>
    <s v="ORD-000305"/>
    <x v="8"/>
    <s v="PA-009"/>
    <n v="44900"/>
    <x v="0"/>
  </r>
  <r>
    <s v="ORD-000306"/>
    <x v="7"/>
    <s v="PA-008"/>
    <n v="6600"/>
    <x v="0"/>
  </r>
  <r>
    <s v="ORD-000307"/>
    <x v="6"/>
    <s v="PA-007"/>
    <n v="41700"/>
    <x v="0"/>
  </r>
  <r>
    <s v="ORD-000308"/>
    <x v="16"/>
    <s v="PA-017"/>
    <n v="0"/>
    <x v="0"/>
  </r>
  <r>
    <s v="ORD-000309"/>
    <x v="13"/>
    <s v="PA-014"/>
    <n v="58800"/>
    <x v="0"/>
  </r>
  <r>
    <s v="ORD-000310"/>
    <x v="5"/>
    <s v="PA-006"/>
    <n v="47200"/>
    <x v="0"/>
  </r>
  <r>
    <s v="ORD-000311"/>
    <x v="8"/>
    <s v="PA-009"/>
    <n v="132300"/>
    <x v="0"/>
  </r>
  <r>
    <s v="ORD-000312"/>
    <x v="24"/>
    <s v="PA-025"/>
    <n v="54600"/>
    <x v="0"/>
  </r>
  <r>
    <s v="ORD-000313"/>
    <x v="4"/>
    <s v="PA-005"/>
    <n v="119100"/>
    <x v="0"/>
  </r>
  <r>
    <s v="ORD-000314"/>
    <x v="48"/>
    <s v="PA-053"/>
    <n v="235500"/>
    <x v="0"/>
  </r>
  <r>
    <s v="ORD-000315"/>
    <x v="4"/>
    <s v="PA-005"/>
    <n v="42600"/>
    <x v="0"/>
  </r>
  <r>
    <s v="ORD-000316"/>
    <x v="6"/>
    <s v="PA-007"/>
    <n v="61000"/>
    <x v="0"/>
  </r>
  <r>
    <s v="ORD-000317"/>
    <x v="6"/>
    <s v="PA-007"/>
    <n v="56400"/>
    <x v="0"/>
  </r>
  <r>
    <s v="ORD-000318"/>
    <x v="7"/>
    <s v="PA-008"/>
    <n v="244700"/>
    <x v="0"/>
  </r>
  <r>
    <s v="ORD-000319"/>
    <x v="13"/>
    <s v="PA-014"/>
    <n v="53000"/>
    <x v="0"/>
  </r>
  <r>
    <s v="ORD-000320"/>
    <x v="13"/>
    <s v="PA-014"/>
    <n v="51900"/>
    <x v="0"/>
  </r>
  <r>
    <s v="ORD-000321"/>
    <x v="8"/>
    <s v="PA-009"/>
    <n v="115000"/>
    <x v="0"/>
  </r>
  <r>
    <s v="ORD-000322"/>
    <x v="6"/>
    <s v="PA-007"/>
    <n v="37700"/>
    <x v="0"/>
  </r>
  <r>
    <s v="ORD-000323"/>
    <x v="4"/>
    <s v="PA-005"/>
    <n v="69000"/>
    <x v="0"/>
  </r>
  <r>
    <s v="ORD-000324"/>
    <x v="4"/>
    <s v="PA-005"/>
    <n v="67100"/>
    <x v="0"/>
  </r>
  <r>
    <s v="ORD-000325"/>
    <x v="4"/>
    <s v="PA-005"/>
    <n v="134500"/>
    <x v="0"/>
  </r>
  <r>
    <s v="ORD-000326"/>
    <x v="5"/>
    <s v="PA-006"/>
    <n v="43600"/>
    <x v="0"/>
  </r>
  <r>
    <s v="ORD-000327"/>
    <x v="4"/>
    <s v="PA-005"/>
    <n v="46800"/>
    <x v="0"/>
  </r>
  <r>
    <s v="ORD-000328"/>
    <x v="4"/>
    <s v="PA-005"/>
    <n v="160600"/>
    <x v="0"/>
  </r>
  <r>
    <s v="ORD-000329"/>
    <x v="4"/>
    <s v="PA-005"/>
    <n v="62300"/>
    <x v="0"/>
  </r>
  <r>
    <s v="ORD-000330"/>
    <x v="14"/>
    <s v="PA-015"/>
    <n v="0"/>
    <x v="0"/>
  </r>
  <r>
    <s v="ORD-000331"/>
    <x v="8"/>
    <s v="PA-009"/>
    <n v="0"/>
    <x v="0"/>
  </r>
  <r>
    <s v="ORD-000332"/>
    <x v="24"/>
    <s v="PA-025"/>
    <n v="51900"/>
    <x v="0"/>
  </r>
  <r>
    <s v="ORD-000333"/>
    <x v="24"/>
    <s v="PA-025"/>
    <n v="64000"/>
    <x v="0"/>
  </r>
  <r>
    <s v="ORD-000334"/>
    <x v="24"/>
    <s v="PA-025"/>
    <n v="68500"/>
    <x v="0"/>
  </r>
  <r>
    <s v="ORD-000335"/>
    <x v="8"/>
    <s v="PA-009"/>
    <n v="59800"/>
    <x v="0"/>
  </r>
  <r>
    <s v="ORD-000336"/>
    <x v="23"/>
    <s v="PA-024"/>
    <n v="38900"/>
    <x v="0"/>
  </r>
  <r>
    <s v="ORD-000337"/>
    <x v="50"/>
    <s v="PA-055"/>
    <n v="23100"/>
    <x v="0"/>
  </r>
  <r>
    <s v="ORD-000338"/>
    <x v="6"/>
    <s v="PA-007"/>
    <n v="62300"/>
    <x v="0"/>
  </r>
  <r>
    <s v="ORD-000339"/>
    <x v="6"/>
    <s v="PA-007"/>
    <n v="60900"/>
    <x v="0"/>
  </r>
  <r>
    <s v="ORD-000340"/>
    <x v="6"/>
    <s v="PA-007"/>
    <n v="42400"/>
    <x v="0"/>
  </r>
  <r>
    <s v="ORD-000341"/>
    <x v="24"/>
    <s v="PA-025"/>
    <n v="44500"/>
    <x v="0"/>
  </r>
  <r>
    <s v="ORD-000342"/>
    <x v="4"/>
    <s v="PA-005"/>
    <n v="51700"/>
    <x v="0"/>
  </r>
  <r>
    <s v="ORD-000343"/>
    <x v="9"/>
    <s v="PA-010"/>
    <n v="150100"/>
    <x v="0"/>
  </r>
  <r>
    <s v="ORD-000344"/>
    <x v="8"/>
    <s v="PA-009"/>
    <n v="257700"/>
    <x v="0"/>
  </r>
  <r>
    <s v="ORD-000345"/>
    <x v="5"/>
    <s v="PA-006"/>
    <n v="47500"/>
    <x v="0"/>
  </r>
  <r>
    <s v="ORD-000346"/>
    <x v="22"/>
    <s v="PA-023"/>
    <n v="65500"/>
    <x v="0"/>
  </r>
  <r>
    <s v="ORD-000347"/>
    <x v="8"/>
    <s v="PA-009"/>
    <n v="62400"/>
    <x v="0"/>
  </r>
  <r>
    <s v="ORD-000348"/>
    <x v="5"/>
    <s v="PA-006"/>
    <n v="40400"/>
    <x v="0"/>
  </r>
  <r>
    <s v="ORD-000349"/>
    <x v="24"/>
    <s v="PA-025"/>
    <n v="53100"/>
    <x v="0"/>
  </r>
  <r>
    <s v="ORD-000350"/>
    <x v="24"/>
    <s v="PA-025"/>
    <n v="270200"/>
    <x v="0"/>
  </r>
  <r>
    <s v="ORD-000351"/>
    <x v="14"/>
    <s v="PA-015"/>
    <n v="47400"/>
    <x v="0"/>
  </r>
  <r>
    <s v="ORD-000352"/>
    <x v="14"/>
    <s v="PA-015"/>
    <n v="49200"/>
    <x v="0"/>
  </r>
  <r>
    <s v="ORD-000353"/>
    <x v="9"/>
    <s v="PA-010"/>
    <n v="41400"/>
    <x v="0"/>
  </r>
  <r>
    <s v="ORD-000354"/>
    <x v="9"/>
    <s v="PA-010"/>
    <n v="55700"/>
    <x v="0"/>
  </r>
  <r>
    <s v="ORD-000355"/>
    <x v="9"/>
    <s v="PA-010"/>
    <n v="126800"/>
    <x v="0"/>
  </r>
  <r>
    <s v="ORD-000356"/>
    <x v="22"/>
    <s v="PA-023"/>
    <n v="94400"/>
    <x v="0"/>
  </r>
  <r>
    <s v="ORD-000357"/>
    <x v="51"/>
    <s v="PA-056"/>
    <n v="24800"/>
    <x v="0"/>
  </r>
  <r>
    <s v="ORD-000358"/>
    <x v="9"/>
    <s v="PA-010"/>
    <n v="127200"/>
    <x v="0"/>
  </r>
  <r>
    <s v="ORD-000359"/>
    <x v="9"/>
    <s v="PA-010"/>
    <n v="44800"/>
    <x v="0"/>
  </r>
  <r>
    <s v="ORD-000360"/>
    <x v="8"/>
    <s v="PA-009"/>
    <n v="70000"/>
    <x v="0"/>
  </r>
  <r>
    <s v="ORD-000361"/>
    <x v="8"/>
    <s v="PA-009"/>
    <n v="91900"/>
    <x v="0"/>
  </r>
  <r>
    <s v="ORD-000362"/>
    <x v="4"/>
    <s v="PA-005"/>
    <n v="56800"/>
    <x v="0"/>
  </r>
  <r>
    <s v="ORD-000363"/>
    <x v="4"/>
    <s v="PA-005"/>
    <n v="142500"/>
    <x v="0"/>
  </r>
  <r>
    <s v="ORD-000364"/>
    <x v="4"/>
    <s v="PA-005"/>
    <n v="143500"/>
    <x v="0"/>
  </r>
  <r>
    <s v="ORD-000365"/>
    <x v="4"/>
    <s v="PA-005"/>
    <n v="50800"/>
    <x v="0"/>
  </r>
  <r>
    <s v="ORD-000366"/>
    <x v="52"/>
    <s v="PA-057"/>
    <n v="109800"/>
    <x v="0"/>
  </r>
  <r>
    <s v="ORD-000367"/>
    <x v="2"/>
    <s v="PA-003"/>
    <n v="69200"/>
    <x v="0"/>
  </r>
  <r>
    <s v="ORD-000368"/>
    <x v="5"/>
    <s v="PA-006"/>
    <n v="55000"/>
    <x v="0"/>
  </r>
  <r>
    <s v="ORD-000369"/>
    <x v="42"/>
    <s v="PA-046"/>
    <n v="225500"/>
    <x v="0"/>
  </r>
  <r>
    <s v="ORD-000370"/>
    <x v="42"/>
    <s v="PA-046"/>
    <n v="251900"/>
    <x v="0"/>
  </r>
  <r>
    <s v="ORD-000371"/>
    <x v="42"/>
    <s v="PA-046"/>
    <n v="202800"/>
    <x v="0"/>
  </r>
  <r>
    <s v="ORD-000372"/>
    <x v="7"/>
    <s v="PA-008"/>
    <n v="65300"/>
    <x v="0"/>
  </r>
  <r>
    <s v="ORD-000373"/>
    <x v="16"/>
    <s v="PA-017"/>
    <n v="196000"/>
    <x v="0"/>
  </r>
  <r>
    <s v="ORD-000374"/>
    <x v="16"/>
    <s v="PA-017"/>
    <n v="76200"/>
    <x v="0"/>
  </r>
  <r>
    <s v="ORD-000375"/>
    <x v="16"/>
    <s v="PA-017"/>
    <n v="187600"/>
    <x v="0"/>
  </r>
  <r>
    <s v="ORD-000376"/>
    <x v="3"/>
    <s v="PA-004"/>
    <n v="67400"/>
    <x v="0"/>
  </r>
  <r>
    <s v="ORD-000377"/>
    <x v="53"/>
    <s v="PA-058"/>
    <n v="120400"/>
    <x v="0"/>
  </r>
  <r>
    <s v="ORD-000378"/>
    <x v="32"/>
    <s v="PA-036"/>
    <n v="48900"/>
    <x v="0"/>
  </r>
  <r>
    <s v="ORD-000379"/>
    <x v="32"/>
    <s v="PA-036"/>
    <n v="60100"/>
    <x v="0"/>
  </r>
  <r>
    <s v="ORD-000380"/>
    <x v="9"/>
    <s v="PA-010"/>
    <n v="66600"/>
    <x v="0"/>
  </r>
  <r>
    <s v="ORD-000381"/>
    <x v="9"/>
    <s v="PA-010"/>
    <n v="58800"/>
    <x v="0"/>
  </r>
  <r>
    <s v="ORD-000382"/>
    <x v="9"/>
    <s v="PA-010"/>
    <n v="40100"/>
    <x v="0"/>
  </r>
  <r>
    <s v="ORD-000383"/>
    <x v="5"/>
    <s v="PA-006"/>
    <n v="121400"/>
    <x v="0"/>
  </r>
  <r>
    <s v="ORD-000384"/>
    <x v="24"/>
    <s v="PA-025"/>
    <n v="52300"/>
    <x v="0"/>
  </r>
  <r>
    <s v="ORD-000385"/>
    <x v="24"/>
    <s v="PA-025"/>
    <n v="122400"/>
    <x v="0"/>
  </r>
  <r>
    <s v="ORD-000386"/>
    <x v="19"/>
    <s v="PA-020"/>
    <n v="144100"/>
    <x v="0"/>
  </r>
  <r>
    <s v="ORD-000387"/>
    <x v="6"/>
    <s v="PA-007"/>
    <n v="157700"/>
    <x v="0"/>
  </r>
  <r>
    <s v="ORD-000388"/>
    <x v="47"/>
    <s v="PA-052"/>
    <n v="30900"/>
    <x v="0"/>
  </r>
  <r>
    <s v="ORD-000389"/>
    <x v="8"/>
    <s v="PA-009"/>
    <n v="213700"/>
    <x v="0"/>
  </r>
  <r>
    <s v="ORD-000390"/>
    <x v="36"/>
    <s v="PA-040"/>
    <n v="74300"/>
    <x v="0"/>
  </r>
  <r>
    <s v="ORD-000391"/>
    <x v="17"/>
    <s v="PA-018"/>
    <n v="42000"/>
    <x v="0"/>
  </r>
  <r>
    <s v="ORD-000392"/>
    <x v="17"/>
    <s v="PA-018"/>
    <n v="54000"/>
    <x v="0"/>
  </r>
  <r>
    <s v="ORD-000393"/>
    <x v="17"/>
    <s v="PA-018"/>
    <n v="64200"/>
    <x v="0"/>
  </r>
  <r>
    <s v="ORD-000394"/>
    <x v="17"/>
    <s v="PA-018"/>
    <n v="56900"/>
    <x v="0"/>
  </r>
  <r>
    <s v="ORD-000395"/>
    <x v="6"/>
    <s v="PA-007"/>
    <n v="47800"/>
    <x v="0"/>
  </r>
  <r>
    <s v="ORD-000396"/>
    <x v="9"/>
    <s v="PA-010"/>
    <n v="55700"/>
    <x v="0"/>
  </r>
  <r>
    <s v="ORD-000397"/>
    <x v="9"/>
    <s v="PA-010"/>
    <n v="46500"/>
    <x v="0"/>
  </r>
  <r>
    <s v="ORD-000398"/>
    <x v="9"/>
    <s v="PA-010"/>
    <n v="126200"/>
    <x v="0"/>
  </r>
  <r>
    <s v="ORD-000399"/>
    <x v="5"/>
    <s v="PA-006"/>
    <n v="38600"/>
    <x v="0"/>
  </r>
  <r>
    <s v="ORD-000400"/>
    <x v="34"/>
    <s v="PA-038"/>
    <n v="142800"/>
    <x v="0"/>
  </r>
  <r>
    <s v="ORD-000401"/>
    <x v="19"/>
    <s v="PA-020"/>
    <n v="171300"/>
    <x v="0"/>
  </r>
  <r>
    <s v="ORD-000402"/>
    <x v="5"/>
    <s v="PA-006"/>
    <n v="42000"/>
    <x v="0"/>
  </r>
  <r>
    <s v="ORD-000403"/>
    <x v="28"/>
    <s v="PA-032"/>
    <n v="61000"/>
    <x v="0"/>
  </r>
  <r>
    <s v="ORD-000404"/>
    <x v="54"/>
    <s v="PA-059"/>
    <n v="49800"/>
    <x v="0"/>
  </r>
  <r>
    <s v="ORD-000405"/>
    <x v="54"/>
    <s v="PA-059"/>
    <n v="50600"/>
    <x v="0"/>
  </r>
  <r>
    <s v="ORD-000406"/>
    <x v="42"/>
    <s v="PA-046"/>
    <n v="95300"/>
    <x v="0"/>
  </r>
  <r>
    <s v="ORD-000407"/>
    <x v="42"/>
    <s v="PA-046"/>
    <n v="107700"/>
    <x v="0"/>
  </r>
  <r>
    <s v="ORD-000408"/>
    <x v="42"/>
    <s v="PA-046"/>
    <n v="113400"/>
    <x v="0"/>
  </r>
  <r>
    <s v="ORD-000409"/>
    <x v="42"/>
    <s v="PA-046"/>
    <n v="73600"/>
    <x v="0"/>
  </r>
  <r>
    <s v="ORD-000410"/>
    <x v="28"/>
    <s v="PA-032"/>
    <n v="54100"/>
    <x v="0"/>
  </r>
  <r>
    <s v="ORD-000411"/>
    <x v="24"/>
    <s v="PA-025"/>
    <n v="88700"/>
    <x v="0"/>
  </r>
  <r>
    <s v="ORD-000412"/>
    <x v="24"/>
    <s v="PA-025"/>
    <n v="46000"/>
    <x v="0"/>
  </r>
  <r>
    <s v="ORD-000413"/>
    <x v="24"/>
    <s v="PA-025"/>
    <n v="61000"/>
    <x v="0"/>
  </r>
  <r>
    <s v="ORD-000414"/>
    <x v="24"/>
    <s v="PA-025"/>
    <n v="56800"/>
    <x v="0"/>
  </r>
  <r>
    <s v="ORD-000415"/>
    <x v="24"/>
    <s v="PA-025"/>
    <n v="53600"/>
    <x v="0"/>
  </r>
  <r>
    <s v="ORD-000416"/>
    <x v="24"/>
    <s v="PA-025"/>
    <n v="45000"/>
    <x v="0"/>
  </r>
  <r>
    <s v="ORD-000417"/>
    <x v="8"/>
    <s v="PA-009"/>
    <n v="55700"/>
    <x v="0"/>
  </r>
  <r>
    <s v="ORD-000418"/>
    <x v="8"/>
    <s v="PA-009"/>
    <n v="57000"/>
    <x v="0"/>
  </r>
  <r>
    <s v="ORD-000419"/>
    <x v="4"/>
    <s v="PA-005"/>
    <n v="86900"/>
    <x v="0"/>
  </r>
  <r>
    <s v="ORD-000420"/>
    <x v="6"/>
    <s v="PA-007"/>
    <n v="55200"/>
    <x v="0"/>
  </r>
  <r>
    <s v="ORD-000421"/>
    <x v="26"/>
    <s v="PA-030"/>
    <n v="44700"/>
    <x v="0"/>
  </r>
  <r>
    <s v="ORD-000422"/>
    <x v="26"/>
    <s v="PA-030"/>
    <n v="64400"/>
    <x v="0"/>
  </r>
  <r>
    <s v="ORD-000423"/>
    <x v="26"/>
    <s v="PA-030"/>
    <n v="120100"/>
    <x v="0"/>
  </r>
  <r>
    <s v="ORD-000424"/>
    <x v="6"/>
    <s v="PA-007"/>
    <n v="205200"/>
    <x v="0"/>
  </r>
  <r>
    <s v="ORD-000425"/>
    <x v="4"/>
    <s v="PA-005"/>
    <n v="430500"/>
    <x v="0"/>
  </r>
  <r>
    <s v="ORD-000426"/>
    <x v="4"/>
    <s v="PA-005"/>
    <n v="65500"/>
    <x v="0"/>
  </r>
  <r>
    <s v="ORD-000427"/>
    <x v="4"/>
    <s v="PA-005"/>
    <n v="53000"/>
    <x v="0"/>
  </r>
  <r>
    <s v="ORD-000428"/>
    <x v="40"/>
    <s v="PA-044"/>
    <n v="46800"/>
    <x v="0"/>
  </r>
  <r>
    <s v="ORD-000429"/>
    <x v="7"/>
    <s v="PA-008"/>
    <n v="58700"/>
    <x v="0"/>
  </r>
  <r>
    <s v="ORD-000430"/>
    <x v="9"/>
    <s v="PA-010"/>
    <n v="56000"/>
    <x v="0"/>
  </r>
  <r>
    <s v="ORD-000431"/>
    <x v="9"/>
    <s v="PA-010"/>
    <n v="44800"/>
    <x v="0"/>
  </r>
  <r>
    <s v="ORD-000432"/>
    <x v="40"/>
    <s v="PA-044"/>
    <n v="46000"/>
    <x v="0"/>
  </r>
  <r>
    <s v="ORD-000433"/>
    <x v="40"/>
    <s v="PA-044"/>
    <n v="43400"/>
    <x v="0"/>
  </r>
  <r>
    <s v="ORD-000434"/>
    <x v="7"/>
    <s v="PA-008"/>
    <n v="75500"/>
    <x v="0"/>
  </r>
  <r>
    <s v="ORD-000435"/>
    <x v="48"/>
    <s v="PA-053"/>
    <n v="186600"/>
    <x v="0"/>
  </r>
  <r>
    <s v="ORD-000436"/>
    <x v="48"/>
    <s v="PA-053"/>
    <n v="208500"/>
    <x v="0"/>
  </r>
  <r>
    <s v="ORD-000437"/>
    <x v="48"/>
    <s v="PA-053"/>
    <n v="112100"/>
    <x v="0"/>
  </r>
  <r>
    <s v="ORD-000438"/>
    <x v="7"/>
    <s v="PA-008"/>
    <n v="57200"/>
    <x v="0"/>
  </r>
  <r>
    <s v="ORD-000439"/>
    <x v="7"/>
    <s v="PA-008"/>
    <n v="65200"/>
    <x v="0"/>
  </r>
  <r>
    <s v="ORD-000440"/>
    <x v="21"/>
    <s v="PA-022"/>
    <n v="26300"/>
    <x v="0"/>
  </r>
  <r>
    <s v="ORD-000441"/>
    <x v="0"/>
    <s v="PA-001"/>
    <n v="38600"/>
    <x v="0"/>
  </r>
  <r>
    <s v="ORD-000442"/>
    <x v="9"/>
    <s v="PA-010"/>
    <n v="44400"/>
    <x v="0"/>
  </r>
  <r>
    <s v="ORD-000443"/>
    <x v="17"/>
    <s v="PA-018"/>
    <n v="62700"/>
    <x v="0"/>
  </r>
  <r>
    <s v="ORD-000444"/>
    <x v="16"/>
    <s v="PA-017"/>
    <n v="51500"/>
    <x v="0"/>
  </r>
  <r>
    <s v="ORD-000445"/>
    <x v="55"/>
    <s v="PA-060"/>
    <n v="111300"/>
    <x v="0"/>
  </r>
  <r>
    <s v="ORD-000446"/>
    <x v="8"/>
    <s v="PA-009"/>
    <n v="58200"/>
    <x v="0"/>
  </r>
  <r>
    <s v="ORD-000447"/>
    <x v="19"/>
    <s v="PA-020"/>
    <n v="107600"/>
    <x v="0"/>
  </r>
  <r>
    <s v="ORD-000448"/>
    <x v="28"/>
    <s v="PA-032"/>
    <n v="60300"/>
    <x v="0"/>
  </r>
  <r>
    <s v="ORD-000449"/>
    <x v="4"/>
    <s v="PA-005"/>
    <n v="52700"/>
    <x v="0"/>
  </r>
  <r>
    <s v="ORD-000450"/>
    <x v="4"/>
    <s v="PA-005"/>
    <n v="197900"/>
    <x v="0"/>
  </r>
  <r>
    <s v="ORD-000451"/>
    <x v="4"/>
    <s v="PA-005"/>
    <n v="169400"/>
    <x v="0"/>
  </r>
  <r>
    <s v="ORD-000452"/>
    <x v="4"/>
    <s v="PA-005"/>
    <n v="69000"/>
    <x v="0"/>
  </r>
  <r>
    <s v="ORD-000453"/>
    <x v="4"/>
    <s v="PA-005"/>
    <n v="25200"/>
    <x v="0"/>
  </r>
  <r>
    <s v="ORD-000454"/>
    <x v="4"/>
    <s v="PA-005"/>
    <n v="70000"/>
    <x v="0"/>
  </r>
  <r>
    <s v="ORD-000455"/>
    <x v="29"/>
    <s v="PA-033"/>
    <n v="10100"/>
    <x v="0"/>
  </r>
  <r>
    <s v="ORD-000456"/>
    <x v="23"/>
    <s v="PA-024"/>
    <n v="52300"/>
    <x v="0"/>
  </r>
  <r>
    <s v="ORD-000457"/>
    <x v="16"/>
    <s v="PA-017"/>
    <n v="156000"/>
    <x v="0"/>
  </r>
  <r>
    <s v="ORD-000458"/>
    <x v="6"/>
    <s v="PA-007"/>
    <n v="49900"/>
    <x v="0"/>
  </r>
  <r>
    <s v="ORD-000459"/>
    <x v="24"/>
    <s v="PA-025"/>
    <n v="55600"/>
    <x v="0"/>
  </r>
  <r>
    <s v="ORD-000460"/>
    <x v="24"/>
    <s v="PA-025"/>
    <n v="52800"/>
    <x v="0"/>
  </r>
  <r>
    <s v="ORD-000461"/>
    <x v="8"/>
    <s v="PA-009"/>
    <n v="135300"/>
    <x v="0"/>
  </r>
  <r>
    <s v="ORD-000462"/>
    <x v="6"/>
    <s v="PA-007"/>
    <n v="64400"/>
    <x v="0"/>
  </r>
  <r>
    <s v="ORD-000463"/>
    <x v="24"/>
    <s v="PA-025"/>
    <n v="64400"/>
    <x v="0"/>
  </r>
  <r>
    <s v="ORD-000464"/>
    <x v="9"/>
    <s v="PA-010"/>
    <n v="46300"/>
    <x v="0"/>
  </r>
  <r>
    <s v="ORD-000465"/>
    <x v="8"/>
    <s v="PA-009"/>
    <n v="141000"/>
    <x v="0"/>
  </r>
  <r>
    <s v="ORD-000466"/>
    <x v="9"/>
    <s v="PA-010"/>
    <n v="49700"/>
    <x v="0"/>
  </r>
  <r>
    <s v="ORD-000467"/>
    <x v="9"/>
    <s v="PA-010"/>
    <n v="65900"/>
    <x v="0"/>
  </r>
  <r>
    <s v="ORD-000468"/>
    <x v="9"/>
    <s v="PA-010"/>
    <n v="56200"/>
    <x v="0"/>
  </r>
  <r>
    <s v="ORD-000469"/>
    <x v="34"/>
    <s v="PA-038"/>
    <n v="137200"/>
    <x v="0"/>
  </r>
  <r>
    <s v="ORD-000470"/>
    <x v="56"/>
    <s v="PA-061"/>
    <n v="117000"/>
    <x v="0"/>
  </r>
  <r>
    <s v="ORD-000471"/>
    <x v="4"/>
    <s v="PA-005"/>
    <n v="131300"/>
    <x v="0"/>
  </r>
  <r>
    <s v="ORD-000472"/>
    <x v="13"/>
    <s v="PA-014"/>
    <n v="64900"/>
    <x v="0"/>
  </r>
  <r>
    <s v="ORD-000473"/>
    <x v="4"/>
    <s v="PA-005"/>
    <n v="45100"/>
    <x v="0"/>
  </r>
  <r>
    <s v="ORD-000474"/>
    <x v="4"/>
    <s v="PA-005"/>
    <n v="234600"/>
    <x v="0"/>
  </r>
  <r>
    <s v="ORD-000475"/>
    <x v="4"/>
    <s v="PA-005"/>
    <n v="190700"/>
    <x v="0"/>
  </r>
  <r>
    <s v="ORD-000476"/>
    <x v="4"/>
    <s v="PA-005"/>
    <n v="217200"/>
    <x v="0"/>
  </r>
  <r>
    <s v="ORD-000477"/>
    <x v="4"/>
    <s v="PA-005"/>
    <n v="58000"/>
    <x v="0"/>
  </r>
  <r>
    <s v="ORD-000478"/>
    <x v="4"/>
    <s v="PA-005"/>
    <n v="50500"/>
    <x v="0"/>
  </r>
  <r>
    <s v="ORD-000479"/>
    <x v="57"/>
    <s v="PA-062"/>
    <n v="58900"/>
    <x v="0"/>
  </r>
  <r>
    <s v="ORD-000480"/>
    <x v="16"/>
    <s v="PA-017"/>
    <n v="47700"/>
    <x v="0"/>
  </r>
  <r>
    <s v="ORD-000481"/>
    <x v="19"/>
    <s v="PA-020"/>
    <n v="171600"/>
    <x v="0"/>
  </r>
  <r>
    <s v="ORD-000482"/>
    <x v="23"/>
    <s v="PA-024"/>
    <n v="49800"/>
    <x v="0"/>
  </r>
  <r>
    <s v="ORD-000483"/>
    <x v="16"/>
    <s v="PA-017"/>
    <n v="130300"/>
    <x v="0"/>
  </r>
  <r>
    <s v="ORD-000484"/>
    <x v="29"/>
    <s v="PA-033"/>
    <n v="118500"/>
    <x v="0"/>
  </r>
  <r>
    <s v="ORD-000485"/>
    <x v="14"/>
    <s v="PA-015"/>
    <n v="45700"/>
    <x v="0"/>
  </r>
  <r>
    <s v="ORD-000486"/>
    <x v="14"/>
    <s v="PA-015"/>
    <n v="136400"/>
    <x v="0"/>
  </r>
  <r>
    <s v="ORD-000487"/>
    <x v="14"/>
    <s v="PA-015"/>
    <n v="58900"/>
    <x v="0"/>
  </r>
  <r>
    <s v="ORD-000488"/>
    <x v="9"/>
    <s v="PA-010"/>
    <n v="60100"/>
    <x v="0"/>
  </r>
  <r>
    <s v="ORD-000489"/>
    <x v="9"/>
    <s v="PA-010"/>
    <n v="52500"/>
    <x v="0"/>
  </r>
  <r>
    <s v="ORD-000490"/>
    <x v="9"/>
    <s v="PA-010"/>
    <n v="92000"/>
    <x v="0"/>
  </r>
  <r>
    <s v="ORD-000491"/>
    <x v="9"/>
    <s v="PA-010"/>
    <n v="54800"/>
    <x v="0"/>
  </r>
  <r>
    <s v="ORD-000492"/>
    <x v="6"/>
    <s v="PA-007"/>
    <n v="41000"/>
    <x v="0"/>
  </r>
  <r>
    <s v="ORD-000493"/>
    <x v="53"/>
    <s v="PA-058"/>
    <n v="66200"/>
    <x v="0"/>
  </r>
  <r>
    <s v="ORD-000494"/>
    <x v="19"/>
    <s v="PA-020"/>
    <n v="47900"/>
    <x v="0"/>
  </r>
  <r>
    <s v="ORD-000495"/>
    <x v="17"/>
    <s v="PA-018"/>
    <n v="0"/>
    <x v="0"/>
  </r>
  <r>
    <s v="ORD-000496"/>
    <x v="19"/>
    <s v="PA-020"/>
    <n v="52600"/>
    <x v="0"/>
  </r>
  <r>
    <s v="ORD-000497"/>
    <x v="24"/>
    <s v="PA-025"/>
    <n v="53200"/>
    <x v="0"/>
  </r>
  <r>
    <s v="ORD-000498"/>
    <x v="7"/>
    <s v="PA-008"/>
    <n v="59100"/>
    <x v="0"/>
  </r>
  <r>
    <s v="ORD-000499"/>
    <x v="19"/>
    <s v="PA-020"/>
    <n v="142000"/>
    <x v="0"/>
  </r>
  <r>
    <s v="ORD-000500"/>
    <x v="19"/>
    <s v="PA-020"/>
    <n v="173100"/>
    <x v="0"/>
  </r>
  <r>
    <s v="ORD-000501"/>
    <x v="14"/>
    <s v="PA-015"/>
    <n v="67100"/>
    <x v="0"/>
  </r>
  <r>
    <s v="ORD-000502"/>
    <x v="14"/>
    <s v="PA-015"/>
    <n v="52900"/>
    <x v="0"/>
  </r>
  <r>
    <s v="ORD-000503"/>
    <x v="5"/>
    <s v="PA-006"/>
    <n v="56800"/>
    <x v="0"/>
  </r>
  <r>
    <s v="ORD-000504"/>
    <x v="9"/>
    <s v="PA-010"/>
    <n v="50000"/>
    <x v="0"/>
  </r>
  <r>
    <s v="ORD-000505"/>
    <x v="9"/>
    <s v="PA-010"/>
    <n v="47000"/>
    <x v="0"/>
  </r>
  <r>
    <s v="ORD-000506"/>
    <x v="9"/>
    <s v="PA-010"/>
    <n v="135400"/>
    <x v="0"/>
  </r>
  <r>
    <s v="ORD-000507"/>
    <x v="58"/>
    <s v="PA-063"/>
    <n v="74900"/>
    <x v="0"/>
  </r>
  <r>
    <s v="ORD-000508"/>
    <x v="17"/>
    <s v="PA-018"/>
    <n v="229200"/>
    <x v="0"/>
  </r>
  <r>
    <s v="ORD-000509"/>
    <x v="6"/>
    <s v="PA-007"/>
    <n v="50100"/>
    <x v="0"/>
  </r>
  <r>
    <s v="ORD-000510"/>
    <x v="59"/>
    <s v="PA-064"/>
    <n v="131900"/>
    <x v="0"/>
  </r>
  <r>
    <s v="ORD-000511"/>
    <x v="59"/>
    <s v="PA-064"/>
    <n v="163600"/>
    <x v="0"/>
  </r>
  <r>
    <s v="ORD-000512"/>
    <x v="58"/>
    <s v="PA-063"/>
    <n v="57800"/>
    <x v="0"/>
  </r>
  <r>
    <s v="ORD-000513"/>
    <x v="17"/>
    <s v="PA-018"/>
    <n v="156400"/>
    <x v="0"/>
  </r>
  <r>
    <s v="ORD-000514"/>
    <x v="17"/>
    <s v="PA-018"/>
    <n v="210800"/>
    <x v="0"/>
  </r>
  <r>
    <s v="ORD-000515"/>
    <x v="4"/>
    <s v="PA-005"/>
    <n v="75400"/>
    <x v="0"/>
  </r>
  <r>
    <s v="ORD-000516"/>
    <x v="17"/>
    <s v="PA-018"/>
    <n v="68100"/>
    <x v="0"/>
  </r>
  <r>
    <s v="ORD-000517"/>
    <x v="28"/>
    <s v="PA-032"/>
    <n v="44700"/>
    <x v="0"/>
  </r>
  <r>
    <s v="ORD-000518"/>
    <x v="28"/>
    <s v="PA-032"/>
    <n v="48500"/>
    <x v="0"/>
  </r>
  <r>
    <s v="ORD-000519"/>
    <x v="60"/>
    <s v="PA-065"/>
    <n v="136900"/>
    <x v="0"/>
  </r>
  <r>
    <s v="ORD-000520"/>
    <x v="8"/>
    <s v="PA-009"/>
    <n v="58600"/>
    <x v="0"/>
  </r>
  <r>
    <s v="ORD-000521"/>
    <x v="24"/>
    <s v="PA-025"/>
    <n v="32600"/>
    <x v="0"/>
  </r>
  <r>
    <s v="ORD-000522"/>
    <x v="24"/>
    <s v="PA-025"/>
    <n v="50600"/>
    <x v="0"/>
  </r>
  <r>
    <s v="ORD-000523"/>
    <x v="8"/>
    <s v="PA-009"/>
    <n v="86000"/>
    <x v="0"/>
  </r>
  <r>
    <s v="ORD-000524"/>
    <x v="8"/>
    <s v="PA-009"/>
    <n v="150000"/>
    <x v="0"/>
  </r>
  <r>
    <s v="ORD-000525"/>
    <x v="8"/>
    <s v="PA-009"/>
    <n v="56100"/>
    <x v="1"/>
  </r>
  <r>
    <s v="ORD-000526"/>
    <x v="8"/>
    <s v="PA-009"/>
    <n v="46200"/>
    <x v="1"/>
  </r>
  <r>
    <s v="ORD-000527"/>
    <x v="4"/>
    <s v="PA-005"/>
    <n v="111100"/>
    <x v="1"/>
  </r>
  <r>
    <s v="ORD-000528"/>
    <x v="4"/>
    <s v="PA-005"/>
    <n v="104300"/>
    <x v="1"/>
  </r>
  <r>
    <s v="ORD-000529"/>
    <x v="4"/>
    <s v="PA-005"/>
    <n v="117700"/>
    <x v="1"/>
  </r>
  <r>
    <s v="ORD-000530"/>
    <x v="4"/>
    <s v="PA-005"/>
    <n v="49400"/>
    <x v="1"/>
  </r>
  <r>
    <s v="ORD-000531"/>
    <x v="17"/>
    <s v="PA-018"/>
    <n v="72200"/>
    <x v="1"/>
  </r>
  <r>
    <s v="ORD-000532"/>
    <x v="17"/>
    <s v="PA-018"/>
    <n v="57400"/>
    <x v="1"/>
  </r>
  <r>
    <s v="ORD-000533"/>
    <x v="16"/>
    <s v="PA-017"/>
    <n v="68500"/>
    <x v="1"/>
  </r>
  <r>
    <s v="ORD-000534"/>
    <x v="58"/>
    <s v="PA-063"/>
    <n v="0"/>
    <x v="1"/>
  </r>
  <r>
    <s v="ORD-000535"/>
    <x v="24"/>
    <s v="PA-025"/>
    <n v="76400"/>
    <x v="1"/>
  </r>
  <r>
    <s v="ORD-000536"/>
    <x v="16"/>
    <s v="PA-017"/>
    <n v="65600"/>
    <x v="1"/>
  </r>
  <r>
    <s v="ORD-000537"/>
    <x v="46"/>
    <s v="PA-051"/>
    <n v="345000"/>
    <x v="1"/>
  </r>
  <r>
    <s v="ORD-000538"/>
    <x v="11"/>
    <s v="PA-012"/>
    <n v="92800"/>
    <x v="1"/>
  </r>
  <r>
    <s v="ORD-000539"/>
    <x v="24"/>
    <s v="PA-025"/>
    <n v="42400"/>
    <x v="1"/>
  </r>
  <r>
    <s v="ORD-000540"/>
    <x v="24"/>
    <s v="PA-025"/>
    <n v="52900"/>
    <x v="1"/>
  </r>
  <r>
    <s v="ORD-000541"/>
    <x v="4"/>
    <s v="PA-005"/>
    <n v="43100"/>
    <x v="1"/>
  </r>
  <r>
    <s v="ORD-000542"/>
    <x v="4"/>
    <s v="PA-005"/>
    <n v="252200"/>
    <x v="1"/>
  </r>
  <r>
    <s v="ORD-000543"/>
    <x v="4"/>
    <s v="PA-005"/>
    <n v="43300"/>
    <x v="1"/>
  </r>
  <r>
    <s v="ORD-000544"/>
    <x v="4"/>
    <s v="PA-005"/>
    <n v="52900"/>
    <x v="1"/>
  </r>
  <r>
    <s v="ORD-000545"/>
    <x v="6"/>
    <s v="PA-007"/>
    <n v="54500"/>
    <x v="1"/>
  </r>
  <r>
    <s v="ORD-000546"/>
    <x v="8"/>
    <s v="PA-009"/>
    <n v="153200"/>
    <x v="1"/>
  </r>
  <r>
    <s v="ORD-000547"/>
    <x v="4"/>
    <s v="PA-005"/>
    <n v="74800"/>
    <x v="1"/>
  </r>
  <r>
    <s v="ORD-000548"/>
    <x v="8"/>
    <s v="PA-009"/>
    <n v="165900"/>
    <x v="1"/>
  </r>
  <r>
    <s v="ORD-000549"/>
    <x v="16"/>
    <s v="PA-017"/>
    <n v="62600"/>
    <x v="1"/>
  </r>
  <r>
    <s v="ORD-000550"/>
    <x v="61"/>
    <s v="PA-066"/>
    <n v="43000"/>
    <x v="1"/>
  </r>
  <r>
    <s v="ORD-000551"/>
    <x v="61"/>
    <s v="PA-066"/>
    <n v="51800"/>
    <x v="1"/>
  </r>
  <r>
    <s v="ORD-000552"/>
    <x v="8"/>
    <s v="PA-009"/>
    <n v="41000"/>
    <x v="1"/>
  </r>
  <r>
    <s v="ORD-000553"/>
    <x v="24"/>
    <s v="PA-025"/>
    <n v="53500"/>
    <x v="1"/>
  </r>
  <r>
    <s v="ORD-000554"/>
    <x v="11"/>
    <s v="PA-012"/>
    <n v="57600"/>
    <x v="1"/>
  </r>
  <r>
    <s v="ORD-000555"/>
    <x v="8"/>
    <s v="PA-009"/>
    <n v="41200"/>
    <x v="1"/>
  </r>
  <r>
    <s v="ORD-000556"/>
    <x v="8"/>
    <s v="PA-009"/>
    <n v="118600"/>
    <x v="1"/>
  </r>
  <r>
    <s v="ORD-000557"/>
    <x v="8"/>
    <s v="PA-009"/>
    <n v="123900"/>
    <x v="1"/>
  </r>
  <r>
    <s v="ORD-000558"/>
    <x v="6"/>
    <s v="PA-007"/>
    <n v="64400"/>
    <x v="1"/>
  </r>
  <r>
    <s v="ORD-000559"/>
    <x v="28"/>
    <s v="PA-032"/>
    <n v="66600"/>
    <x v="1"/>
  </r>
  <r>
    <s v="ORD-000560"/>
    <x v="28"/>
    <s v="PA-032"/>
    <n v="48000"/>
    <x v="1"/>
  </r>
  <r>
    <s v="ORD-000561"/>
    <x v="8"/>
    <s v="PA-009"/>
    <n v="66200"/>
    <x v="1"/>
  </r>
  <r>
    <s v="ORD-000562"/>
    <x v="19"/>
    <s v="PA-020"/>
    <n v="142100"/>
    <x v="1"/>
  </r>
  <r>
    <s v="ORD-000563"/>
    <x v="10"/>
    <s v="PA-011"/>
    <n v="315800"/>
    <x v="1"/>
  </r>
  <r>
    <s v="ORD-000564"/>
    <x v="24"/>
    <s v="PA-025"/>
    <n v="264300"/>
    <x v="1"/>
  </r>
  <r>
    <s v="ORD-000565"/>
    <x v="24"/>
    <s v="PA-025"/>
    <n v="73500"/>
    <x v="1"/>
  </r>
  <r>
    <s v="ORD-000566"/>
    <x v="4"/>
    <s v="PA-005"/>
    <n v="328200"/>
    <x v="1"/>
  </r>
  <r>
    <s v="ORD-000567"/>
    <x v="24"/>
    <s v="PA-025"/>
    <n v="40800"/>
    <x v="1"/>
  </r>
  <r>
    <s v="ORD-000568"/>
    <x v="24"/>
    <s v="PA-025"/>
    <n v="57800"/>
    <x v="1"/>
  </r>
  <r>
    <s v="ORD-000569"/>
    <x v="11"/>
    <s v="PA-012"/>
    <n v="51300"/>
    <x v="1"/>
  </r>
  <r>
    <s v="ORD-000570"/>
    <x v="8"/>
    <s v="PA-009"/>
    <n v="54300"/>
    <x v="1"/>
  </r>
  <r>
    <s v="ORD-000571"/>
    <x v="8"/>
    <s v="PA-009"/>
    <n v="100300"/>
    <x v="1"/>
  </r>
  <r>
    <s v="ORD-000572"/>
    <x v="4"/>
    <s v="PA-005"/>
    <n v="62700"/>
    <x v="1"/>
  </r>
  <r>
    <s v="ORD-000573"/>
    <x v="4"/>
    <s v="PA-005"/>
    <n v="60600"/>
    <x v="1"/>
  </r>
  <r>
    <s v="ORD-000574"/>
    <x v="6"/>
    <s v="PA-007"/>
    <n v="35500"/>
    <x v="1"/>
  </r>
  <r>
    <s v="ORD-000575"/>
    <x v="6"/>
    <s v="PA-007"/>
    <n v="41200"/>
    <x v="1"/>
  </r>
  <r>
    <s v="ORD-000576"/>
    <x v="4"/>
    <s v="PA-005"/>
    <n v="29100"/>
    <x v="1"/>
  </r>
  <r>
    <s v="ORD-000577"/>
    <x v="4"/>
    <s v="PA-005"/>
    <n v="196600"/>
    <x v="1"/>
  </r>
  <r>
    <s v="ORD-000578"/>
    <x v="8"/>
    <s v="PA-009"/>
    <n v="47900"/>
    <x v="1"/>
  </r>
  <r>
    <s v="ORD-000579"/>
    <x v="8"/>
    <s v="PA-009"/>
    <n v="44700"/>
    <x v="1"/>
  </r>
  <r>
    <s v="ORD-000580"/>
    <x v="23"/>
    <s v="PA-024"/>
    <n v="221700"/>
    <x v="1"/>
  </r>
  <r>
    <s v="ORD-000581"/>
    <x v="4"/>
    <s v="PA-005"/>
    <n v="248700"/>
    <x v="1"/>
  </r>
  <r>
    <s v="ORD-000582"/>
    <x v="0"/>
    <s v="PA-001"/>
    <n v="40800"/>
    <x v="1"/>
  </r>
  <r>
    <s v="ORD-000583"/>
    <x v="9"/>
    <s v="PA-010"/>
    <n v="182300"/>
    <x v="1"/>
  </r>
  <r>
    <s v="ORD-000584"/>
    <x v="6"/>
    <s v="PA-007"/>
    <n v="58300"/>
    <x v="1"/>
  </r>
  <r>
    <s v="ORD-000585"/>
    <x v="6"/>
    <s v="PA-007"/>
    <n v="44600"/>
    <x v="1"/>
  </r>
  <r>
    <s v="ORD-000586"/>
    <x v="6"/>
    <s v="PA-007"/>
    <n v="48600"/>
    <x v="1"/>
  </r>
  <r>
    <s v="ORD-000587"/>
    <x v="10"/>
    <s v="PA-011"/>
    <n v="130500"/>
    <x v="1"/>
  </r>
  <r>
    <s v="ORD-000588"/>
    <x v="6"/>
    <s v="PA-007"/>
    <n v="255500"/>
    <x v="1"/>
  </r>
  <r>
    <s v="ORD-000589"/>
    <x v="10"/>
    <s v="PA-011"/>
    <n v="195800"/>
    <x v="1"/>
  </r>
  <r>
    <s v="ORD-000590"/>
    <x v="8"/>
    <s v="PA-009"/>
    <n v="48700"/>
    <x v="1"/>
  </r>
  <r>
    <s v="ORD-000591"/>
    <x v="5"/>
    <s v="PA-006"/>
    <n v="43000"/>
    <x v="1"/>
  </r>
  <r>
    <s v="ORD-000592"/>
    <x v="5"/>
    <s v="PA-006"/>
    <n v="61700"/>
    <x v="1"/>
  </r>
  <r>
    <s v="ORD-000593"/>
    <x v="7"/>
    <s v="PA-008"/>
    <n v="33000"/>
    <x v="1"/>
  </r>
  <r>
    <s v="ORD-000594"/>
    <x v="5"/>
    <s v="PA-006"/>
    <n v="43400"/>
    <x v="1"/>
  </r>
  <r>
    <s v="ORD-000595"/>
    <x v="19"/>
    <s v="PA-020"/>
    <n v="0"/>
    <x v="1"/>
  </r>
  <r>
    <s v="ORD-000596"/>
    <x v="27"/>
    <s v="PA-031"/>
    <n v="47600"/>
    <x v="1"/>
  </r>
  <r>
    <s v="ORD-000597"/>
    <x v="9"/>
    <s v="PA-010"/>
    <n v="62000"/>
    <x v="1"/>
  </r>
  <r>
    <s v="ORD-000598"/>
    <x v="0"/>
    <s v="PA-001"/>
    <n v="62100"/>
    <x v="1"/>
  </r>
  <r>
    <s v="ORD-000599"/>
    <x v="62"/>
    <s v="PA-067"/>
    <n v="100500"/>
    <x v="1"/>
  </r>
  <r>
    <s v="ORD-000600"/>
    <x v="4"/>
    <s v="PA-005"/>
    <n v="53300"/>
    <x v="1"/>
  </r>
  <r>
    <s v="ORD-000601"/>
    <x v="8"/>
    <s v="PA-009"/>
    <n v="49700"/>
    <x v="1"/>
  </r>
  <r>
    <s v="ORD-000602"/>
    <x v="22"/>
    <s v="PA-023"/>
    <n v="56300"/>
    <x v="1"/>
  </r>
  <r>
    <s v="ORD-000603"/>
    <x v="4"/>
    <s v="PA-005"/>
    <n v="271300"/>
    <x v="1"/>
  </r>
  <r>
    <s v="ORD-000604"/>
    <x v="4"/>
    <s v="PA-005"/>
    <n v="62400"/>
    <x v="1"/>
  </r>
  <r>
    <s v="ORD-000605"/>
    <x v="47"/>
    <s v="PA-052"/>
    <n v="41600"/>
    <x v="1"/>
  </r>
  <r>
    <s v="ORD-000606"/>
    <x v="8"/>
    <s v="PA-009"/>
    <n v="52400"/>
    <x v="1"/>
  </r>
  <r>
    <s v="ORD-000607"/>
    <x v="11"/>
    <s v="PA-012"/>
    <n v="58300"/>
    <x v="1"/>
  </r>
  <r>
    <s v="ORD-000608"/>
    <x v="11"/>
    <s v="PA-012"/>
    <n v="46200"/>
    <x v="1"/>
  </r>
  <r>
    <s v="ORD-000609"/>
    <x v="24"/>
    <s v="PA-025"/>
    <n v="56100"/>
    <x v="1"/>
  </r>
  <r>
    <s v="ORD-000610"/>
    <x v="53"/>
    <s v="PA-058"/>
    <n v="0"/>
    <x v="1"/>
  </r>
  <r>
    <s v="ORD-000611"/>
    <x v="24"/>
    <s v="PA-025"/>
    <n v="46300"/>
    <x v="1"/>
  </r>
  <r>
    <s v="ORD-000612"/>
    <x v="46"/>
    <s v="PA-051"/>
    <n v="187600"/>
    <x v="1"/>
  </r>
  <r>
    <s v="ORD-000613"/>
    <x v="46"/>
    <s v="PA-051"/>
    <n v="136500"/>
    <x v="1"/>
  </r>
  <r>
    <s v="ORD-000614"/>
    <x v="55"/>
    <s v="PA-060"/>
    <n v="65600"/>
    <x v="1"/>
  </r>
  <r>
    <s v="ORD-000615"/>
    <x v="24"/>
    <s v="PA-025"/>
    <n v="75100"/>
    <x v="1"/>
  </r>
  <r>
    <s v="ORD-000616"/>
    <x v="24"/>
    <s v="PA-025"/>
    <n v="43300"/>
    <x v="1"/>
  </r>
  <r>
    <s v="ORD-000617"/>
    <x v="63"/>
    <s v="PA-068"/>
    <n v="78500"/>
    <x v="1"/>
  </r>
  <r>
    <s v="ORD-000618"/>
    <x v="16"/>
    <s v="PA-017"/>
    <n v="72400"/>
    <x v="1"/>
  </r>
  <r>
    <s v="ORD-000619"/>
    <x v="4"/>
    <s v="PA-005"/>
    <n v="103600"/>
    <x v="1"/>
  </r>
  <r>
    <s v="ORD-000620"/>
    <x v="8"/>
    <s v="PA-009"/>
    <n v="95900"/>
    <x v="1"/>
  </r>
  <r>
    <s v="ORD-000621"/>
    <x v="8"/>
    <s v="PA-009"/>
    <n v="132800"/>
    <x v="1"/>
  </r>
  <r>
    <s v="ORD-000622"/>
    <x v="16"/>
    <s v="PA-017"/>
    <n v="69500"/>
    <x v="1"/>
  </r>
  <r>
    <s v="ORD-000623"/>
    <x v="28"/>
    <s v="PA-032"/>
    <n v="59500"/>
    <x v="1"/>
  </r>
  <r>
    <s v="ORD-000624"/>
    <x v="5"/>
    <s v="PA-006"/>
    <n v="60200"/>
    <x v="1"/>
  </r>
  <r>
    <s v="ORD-000625"/>
    <x v="64"/>
    <s v="PA-069"/>
    <n v="0"/>
    <x v="1"/>
  </r>
  <r>
    <s v="ORD-000626"/>
    <x v="8"/>
    <s v="PA-009"/>
    <n v="51600"/>
    <x v="1"/>
  </r>
  <r>
    <s v="ORD-000627"/>
    <x v="35"/>
    <s v="PA-039"/>
    <n v="105200"/>
    <x v="1"/>
  </r>
  <r>
    <s v="ORD-000628"/>
    <x v="4"/>
    <s v="PA-005"/>
    <n v="38200"/>
    <x v="1"/>
  </r>
  <r>
    <s v="ORD-000629"/>
    <x v="8"/>
    <s v="PA-009"/>
    <n v="0"/>
    <x v="1"/>
  </r>
  <r>
    <s v="ORD-000630"/>
    <x v="5"/>
    <s v="PA-006"/>
    <n v="33300"/>
    <x v="1"/>
  </r>
  <r>
    <s v="ORD-000631"/>
    <x v="6"/>
    <s v="PA-007"/>
    <n v="155600"/>
    <x v="1"/>
  </r>
  <r>
    <s v="ORD-000632"/>
    <x v="4"/>
    <s v="PA-005"/>
    <n v="99000"/>
    <x v="1"/>
  </r>
  <r>
    <s v="ORD-000633"/>
    <x v="40"/>
    <s v="PA-044"/>
    <n v="55500"/>
    <x v="1"/>
  </r>
  <r>
    <s v="ORD-000634"/>
    <x v="4"/>
    <s v="PA-005"/>
    <n v="89500"/>
    <x v="1"/>
  </r>
  <r>
    <s v="ORD-000635"/>
    <x v="8"/>
    <s v="PA-009"/>
    <n v="164500"/>
    <x v="1"/>
  </r>
  <r>
    <s v="ORD-000636"/>
    <x v="6"/>
    <s v="PA-007"/>
    <n v="9500"/>
    <x v="1"/>
  </r>
  <r>
    <s v="ORD-000637"/>
    <x v="60"/>
    <s v="PA-065"/>
    <n v="1200"/>
    <x v="1"/>
  </r>
  <r>
    <s v="ORD-000638"/>
    <x v="8"/>
    <s v="PA-009"/>
    <n v="4600"/>
    <x v="1"/>
  </r>
  <r>
    <s v="ORD-000639"/>
    <x v="42"/>
    <s v="PA-046"/>
    <n v="97500"/>
    <x v="1"/>
  </r>
  <r>
    <s v="ORD-000640"/>
    <x v="8"/>
    <s v="PA-009"/>
    <n v="60600"/>
    <x v="1"/>
  </r>
  <r>
    <s v="ORD-000641"/>
    <x v="8"/>
    <s v="PA-009"/>
    <n v="44600"/>
    <x v="1"/>
  </r>
  <r>
    <s v="ORD-000642"/>
    <x v="65"/>
    <s v="PA-072"/>
    <n v="210000"/>
    <x v="1"/>
  </r>
  <r>
    <s v="ORD-000643"/>
    <x v="10"/>
    <s v="PA-011"/>
    <n v="147300"/>
    <x v="1"/>
  </r>
  <r>
    <s v="ORD-000644"/>
    <x v="5"/>
    <s v="PA-006"/>
    <n v="37000"/>
    <x v="1"/>
  </r>
  <r>
    <s v="ORD-000645"/>
    <x v="4"/>
    <s v="PA-005"/>
    <n v="69500"/>
    <x v="1"/>
  </r>
  <r>
    <s v="ORD-000646"/>
    <x v="24"/>
    <s v="PA-025"/>
    <n v="55800"/>
    <x v="1"/>
  </r>
  <r>
    <s v="ORD-000647"/>
    <x v="2"/>
    <s v="PA-003"/>
    <n v="55400"/>
    <x v="1"/>
  </r>
  <r>
    <s v="ORD-000648"/>
    <x v="16"/>
    <s v="PA-017"/>
    <n v="53400"/>
    <x v="1"/>
  </r>
  <r>
    <s v="ORD-000649"/>
    <x v="16"/>
    <s v="PA-017"/>
    <n v="51500"/>
    <x v="1"/>
  </r>
  <r>
    <s v="ORD-000650"/>
    <x v="9"/>
    <s v="PA-010"/>
    <n v="0"/>
    <x v="1"/>
  </r>
  <r>
    <s v="ORD-000651"/>
    <x v="30"/>
    <s v="PA-034"/>
    <n v="50100"/>
    <x v="1"/>
  </r>
  <r>
    <s v="ORD-000652"/>
    <x v="66"/>
    <s v="PA-073"/>
    <n v="68400"/>
    <x v="1"/>
  </r>
  <r>
    <s v="ORD-000653"/>
    <x v="8"/>
    <s v="PA-009"/>
    <n v="94600"/>
    <x v="1"/>
  </r>
  <r>
    <s v="ORD-000654"/>
    <x v="0"/>
    <s v="PA-001"/>
    <n v="0"/>
    <x v="1"/>
  </r>
  <r>
    <s v="ORD-000655"/>
    <x v="42"/>
    <s v="PA-046"/>
    <n v="78700"/>
    <x v="1"/>
  </r>
  <r>
    <s v="ORD-000656"/>
    <x v="16"/>
    <s v="PA-017"/>
    <n v="74900"/>
    <x v="1"/>
  </r>
  <r>
    <s v="ORD-000657"/>
    <x v="16"/>
    <s v="PA-017"/>
    <n v="59800"/>
    <x v="1"/>
  </r>
  <r>
    <s v="ORD-000658"/>
    <x v="0"/>
    <s v="PA-001"/>
    <n v="35500"/>
    <x v="1"/>
  </r>
  <r>
    <s v="ORD-000659"/>
    <x v="9"/>
    <s v="PA-010"/>
    <n v="189000"/>
    <x v="1"/>
  </r>
  <r>
    <s v="ORD-000660"/>
    <x v="9"/>
    <s v="PA-010"/>
    <n v="163100"/>
    <x v="1"/>
  </r>
  <r>
    <s v="ORD-000661"/>
    <x v="10"/>
    <s v="PA-011"/>
    <n v="198100"/>
    <x v="1"/>
  </r>
  <r>
    <s v="ORD-000662"/>
    <x v="9"/>
    <s v="PA-010"/>
    <n v="134100"/>
    <x v="1"/>
  </r>
  <r>
    <s v="ORD-000663"/>
    <x v="0"/>
    <s v="PA-001"/>
    <n v="56200"/>
    <x v="1"/>
  </r>
  <r>
    <s v="ORD-000664"/>
    <x v="4"/>
    <s v="PA-005"/>
    <n v="72100"/>
    <x v="1"/>
  </r>
  <r>
    <s v="ORD-000665"/>
    <x v="4"/>
    <s v="PA-005"/>
    <n v="60500"/>
    <x v="1"/>
  </r>
  <r>
    <s v="ORD-000666"/>
    <x v="4"/>
    <s v="PA-005"/>
    <n v="107400"/>
    <x v="1"/>
  </r>
  <r>
    <s v="ORD-000667"/>
    <x v="8"/>
    <s v="PA-009"/>
    <n v="66600"/>
    <x v="1"/>
  </r>
  <r>
    <s v="ORD-000668"/>
    <x v="4"/>
    <s v="PA-005"/>
    <n v="54800"/>
    <x v="1"/>
  </r>
  <r>
    <s v="ORD-000669"/>
    <x v="24"/>
    <s v="PA-025"/>
    <n v="51700"/>
    <x v="1"/>
  </r>
  <r>
    <s v="ORD-000670"/>
    <x v="40"/>
    <s v="PA-044"/>
    <n v="92700"/>
    <x v="1"/>
  </r>
  <r>
    <s v="ORD-000671"/>
    <x v="22"/>
    <s v="PA-023"/>
    <n v="110700"/>
    <x v="1"/>
  </r>
  <r>
    <s v="ORD-000672"/>
    <x v="22"/>
    <s v="PA-023"/>
    <n v="112000"/>
    <x v="1"/>
  </r>
  <r>
    <s v="ORD-000673"/>
    <x v="8"/>
    <s v="PA-009"/>
    <n v="110000"/>
    <x v="1"/>
  </r>
  <r>
    <s v="ORD-000674"/>
    <x v="24"/>
    <s v="PA-025"/>
    <n v="47600"/>
    <x v="1"/>
  </r>
  <r>
    <s v="ORD-000675"/>
    <x v="24"/>
    <s v="PA-025"/>
    <n v="56700"/>
    <x v="1"/>
  </r>
  <r>
    <s v="ORD-000676"/>
    <x v="24"/>
    <s v="PA-025"/>
    <n v="48300"/>
    <x v="1"/>
  </r>
  <r>
    <s v="ORD-000677"/>
    <x v="26"/>
    <s v="PA-030"/>
    <n v="43900"/>
    <x v="1"/>
  </r>
  <r>
    <s v="ORD-000678"/>
    <x v="14"/>
    <s v="PA-015"/>
    <n v="0"/>
    <x v="1"/>
  </r>
  <r>
    <s v="ORD-000679"/>
    <x v="67"/>
    <s v="PA-074"/>
    <n v="146900"/>
    <x v="1"/>
  </r>
  <r>
    <s v="ORD-000680"/>
    <x v="24"/>
    <s v="PA-025"/>
    <n v="62600"/>
    <x v="1"/>
  </r>
  <r>
    <s v="ORD-000681"/>
    <x v="24"/>
    <s v="PA-025"/>
    <n v="54000"/>
    <x v="1"/>
  </r>
  <r>
    <s v="ORD-000682"/>
    <x v="9"/>
    <s v="PA-010"/>
    <n v="108800"/>
    <x v="1"/>
  </r>
  <r>
    <s v="ORD-000683"/>
    <x v="26"/>
    <s v="PA-030"/>
    <n v="112300"/>
    <x v="1"/>
  </r>
  <r>
    <s v="ORD-000684"/>
    <x v="61"/>
    <s v="PA-066"/>
    <n v="53500"/>
    <x v="1"/>
  </r>
  <r>
    <s v="ORD-000685"/>
    <x v="17"/>
    <s v="PA-018"/>
    <n v="56000"/>
    <x v="1"/>
  </r>
  <r>
    <s v="ORD-000686"/>
    <x v="17"/>
    <s v="PA-018"/>
    <n v="55400"/>
    <x v="1"/>
  </r>
  <r>
    <s v="ORD-000687"/>
    <x v="13"/>
    <s v="PA-014"/>
    <n v="96000"/>
    <x v="1"/>
  </r>
  <r>
    <s v="ORD-000688"/>
    <x v="13"/>
    <s v="PA-014"/>
    <n v="131000"/>
    <x v="1"/>
  </r>
  <r>
    <s v="ORD-000689"/>
    <x v="4"/>
    <s v="PA-005"/>
    <n v="75500"/>
    <x v="1"/>
  </r>
  <r>
    <s v="ORD-000690"/>
    <x v="4"/>
    <s v="PA-005"/>
    <n v="66800"/>
    <x v="1"/>
  </r>
  <r>
    <s v="ORD-000691"/>
    <x v="68"/>
    <s v="PA-075"/>
    <n v="184700"/>
    <x v="1"/>
  </r>
  <r>
    <s v="ORD-000692"/>
    <x v="42"/>
    <s v="PA-046"/>
    <n v="119100"/>
    <x v="1"/>
  </r>
  <r>
    <s v="ORD-000693"/>
    <x v="24"/>
    <s v="PA-025"/>
    <n v="196500"/>
    <x v="1"/>
  </r>
  <r>
    <s v="ORD-000694"/>
    <x v="6"/>
    <s v="PA-007"/>
    <n v="244600"/>
    <x v="1"/>
  </r>
  <r>
    <s v="ORD-000695"/>
    <x v="42"/>
    <s v="PA-046"/>
    <n v="0"/>
    <x v="1"/>
  </r>
  <r>
    <s v="ORD-000696"/>
    <x v="69"/>
    <s v="PA-076"/>
    <n v="7200"/>
    <x v="1"/>
  </r>
  <r>
    <s v="ORD-000697"/>
    <x v="8"/>
    <s v="PA-009"/>
    <n v="272500"/>
    <x v="1"/>
  </r>
  <r>
    <s v="ORD-000698"/>
    <x v="4"/>
    <s v="PA-005"/>
    <n v="74500"/>
    <x v="1"/>
  </r>
  <r>
    <s v="ORD-000699"/>
    <x v="4"/>
    <s v="PA-005"/>
    <n v="72600"/>
    <x v="1"/>
  </r>
  <r>
    <s v="ORD-000700"/>
    <x v="4"/>
    <s v="PA-005"/>
    <n v="58200"/>
    <x v="1"/>
  </r>
  <r>
    <s v="ORD-000701"/>
    <x v="4"/>
    <s v="PA-005"/>
    <n v="57500"/>
    <x v="1"/>
  </r>
  <r>
    <s v="ORD-000702"/>
    <x v="16"/>
    <s v="PA-017"/>
    <n v="55800"/>
    <x v="1"/>
  </r>
  <r>
    <s v="ORD-000703"/>
    <x v="11"/>
    <s v="PA-012"/>
    <n v="88900"/>
    <x v="1"/>
  </r>
  <r>
    <s v="ORD-000704"/>
    <x v="11"/>
    <s v="PA-012"/>
    <n v="44500"/>
    <x v="1"/>
  </r>
  <r>
    <s v="ORD-000705"/>
    <x v="11"/>
    <s v="PA-012"/>
    <n v="86700"/>
    <x v="1"/>
  </r>
  <r>
    <s v="ORD-000706"/>
    <x v="11"/>
    <s v="PA-012"/>
    <n v="59300"/>
    <x v="1"/>
  </r>
  <r>
    <s v="ORD-000707"/>
    <x v="11"/>
    <s v="PA-012"/>
    <n v="120900"/>
    <x v="1"/>
  </r>
  <r>
    <s v="ORD-000708"/>
    <x v="11"/>
    <s v="PA-012"/>
    <n v="104100"/>
    <x v="1"/>
  </r>
  <r>
    <s v="ORD-000709"/>
    <x v="6"/>
    <s v="PA-007"/>
    <n v="13900"/>
    <x v="1"/>
  </r>
  <r>
    <s v="ORD-000710"/>
    <x v="68"/>
    <s v="PA-075"/>
    <n v="101200"/>
    <x v="1"/>
  </r>
  <r>
    <s v="ORD-000711"/>
    <x v="24"/>
    <s v="PA-025"/>
    <n v="45400"/>
    <x v="1"/>
  </r>
  <r>
    <s v="ORD-000712"/>
    <x v="70"/>
    <s v="PA-077"/>
    <n v="511900"/>
    <x v="1"/>
  </r>
  <r>
    <s v="ORD-000713"/>
    <x v="42"/>
    <s v="PA-046"/>
    <n v="100200"/>
    <x v="1"/>
  </r>
  <r>
    <s v="ORD-000714"/>
    <x v="60"/>
    <s v="PA-065"/>
    <n v="40200"/>
    <x v="1"/>
  </r>
  <r>
    <s v="ORD-000715"/>
    <x v="34"/>
    <s v="PA-038"/>
    <n v="105300"/>
    <x v="1"/>
  </r>
  <r>
    <s v="ORD-000716"/>
    <x v="17"/>
    <s v="PA-018"/>
    <n v="165300"/>
    <x v="1"/>
  </r>
  <r>
    <s v="ORD-000717"/>
    <x v="8"/>
    <s v="PA-009"/>
    <n v="37200"/>
    <x v="1"/>
  </r>
  <r>
    <s v="ORD-000718"/>
    <x v="13"/>
    <s v="PA-014"/>
    <n v="167200"/>
    <x v="1"/>
  </r>
  <r>
    <s v="ORD-000719"/>
    <x v="19"/>
    <s v="PA-020"/>
    <n v="8800"/>
    <x v="1"/>
  </r>
  <r>
    <s v="ORD-000720"/>
    <x v="19"/>
    <s v="PA-020"/>
    <n v="78900"/>
    <x v="1"/>
  </r>
  <r>
    <s v="ORD-000721"/>
    <x v="71"/>
    <s v="PA-079"/>
    <n v="0"/>
    <x v="1"/>
  </r>
  <r>
    <s v="ORD-000722"/>
    <x v="22"/>
    <s v="PA-023"/>
    <n v="34900"/>
    <x v="1"/>
  </r>
  <r>
    <s v="ORD-000723"/>
    <x v="5"/>
    <s v="PA-006"/>
    <n v="54300"/>
    <x v="1"/>
  </r>
  <r>
    <s v="ORD-000724"/>
    <x v="5"/>
    <s v="PA-006"/>
    <n v="38800"/>
    <x v="1"/>
  </r>
  <r>
    <s v="ORD-000725"/>
    <x v="42"/>
    <s v="PA-046"/>
    <n v="178000"/>
    <x v="1"/>
  </r>
  <r>
    <s v="ORD-000726"/>
    <x v="9"/>
    <s v="PA-010"/>
    <n v="0"/>
    <x v="1"/>
  </r>
  <r>
    <s v="ORD-000727"/>
    <x v="6"/>
    <s v="PA-007"/>
    <n v="259600"/>
    <x v="1"/>
  </r>
  <r>
    <s v="ORD-000728"/>
    <x v="72"/>
    <s v="PA-080"/>
    <n v="128000"/>
    <x v="1"/>
  </r>
  <r>
    <s v="ORD-000729"/>
    <x v="8"/>
    <s v="PA-009"/>
    <n v="164500"/>
    <x v="1"/>
  </r>
  <r>
    <s v="ORD-000730"/>
    <x v="50"/>
    <s v="PA-055"/>
    <n v="41300"/>
    <x v="1"/>
  </r>
  <r>
    <s v="ORD-000731"/>
    <x v="19"/>
    <s v="PA-020"/>
    <n v="8900"/>
    <x v="1"/>
  </r>
  <r>
    <s v="ORD-000732"/>
    <x v="24"/>
    <s v="PA-025"/>
    <n v="60600"/>
    <x v="1"/>
  </r>
  <r>
    <s v="ORD-000733"/>
    <x v="17"/>
    <s v="PA-018"/>
    <n v="2000"/>
    <x v="1"/>
  </r>
  <r>
    <s v="ORD-000734"/>
    <x v="13"/>
    <s v="PA-014"/>
    <n v="1800"/>
    <x v="1"/>
  </r>
  <r>
    <s v="ORD-000735"/>
    <x v="6"/>
    <s v="PA-007"/>
    <n v="225200"/>
    <x v="1"/>
  </r>
  <r>
    <s v="ORD-000736"/>
    <x v="8"/>
    <s v="PA-009"/>
    <n v="17400"/>
    <x v="1"/>
  </r>
  <r>
    <s v="ORD-000737"/>
    <x v="42"/>
    <s v="PA-046"/>
    <n v="21500"/>
    <x v="1"/>
  </r>
  <r>
    <s v="ORD-000738"/>
    <x v="34"/>
    <s v="PA-038"/>
    <n v="6300"/>
    <x v="1"/>
  </r>
  <r>
    <s v="ORD-000739"/>
    <x v="51"/>
    <s v="PA-056"/>
    <n v="5300"/>
    <x v="1"/>
  </r>
  <r>
    <s v="ORD-000740"/>
    <x v="35"/>
    <s v="PA-039"/>
    <n v="1400"/>
    <x v="1"/>
  </r>
  <r>
    <s v="ORD-000741"/>
    <x v="6"/>
    <s v="PA-007"/>
    <n v="1900"/>
    <x v="1"/>
  </r>
  <r>
    <s v="ORD-000742"/>
    <x v="16"/>
    <s v="PA-017"/>
    <n v="47300"/>
    <x v="1"/>
  </r>
  <r>
    <s v="ORD-000743"/>
    <x v="49"/>
    <s v="PA-054"/>
    <n v="140200"/>
    <x v="1"/>
  </r>
  <r>
    <s v="ORD-000744"/>
    <x v="4"/>
    <s v="PA-005"/>
    <n v="165200"/>
    <x v="1"/>
  </r>
  <r>
    <s v="ORD-000745"/>
    <x v="49"/>
    <s v="PA-054"/>
    <n v="154400"/>
    <x v="1"/>
  </r>
  <r>
    <s v="ORD-000746"/>
    <x v="49"/>
    <s v="PA-054"/>
    <n v="249200"/>
    <x v="1"/>
  </r>
  <r>
    <s v="ORD-000747"/>
    <x v="4"/>
    <s v="PA-005"/>
    <n v="6300"/>
    <x v="1"/>
  </r>
  <r>
    <s v="ORD-000748"/>
    <x v="0"/>
    <s v="PA-001"/>
    <n v="32900"/>
    <x v="1"/>
  </r>
  <r>
    <s v="ORD-000749"/>
    <x v="34"/>
    <s v="PA-038"/>
    <n v="6500"/>
    <x v="1"/>
  </r>
  <r>
    <s v="ORD-000750"/>
    <x v="60"/>
    <s v="PA-065"/>
    <n v="1900"/>
    <x v="1"/>
  </r>
  <r>
    <s v="ORD-000751"/>
    <x v="8"/>
    <s v="PA-009"/>
    <n v="69200"/>
    <x v="1"/>
  </r>
  <r>
    <s v="ORD-000752"/>
    <x v="8"/>
    <s v="PA-009"/>
    <n v="131900"/>
    <x v="1"/>
  </r>
  <r>
    <s v="ORD-000753"/>
    <x v="8"/>
    <s v="PA-009"/>
    <n v="29200"/>
    <x v="1"/>
  </r>
  <r>
    <s v="ORD-000754"/>
    <x v="21"/>
    <s v="PA-022"/>
    <n v="37300"/>
    <x v="1"/>
  </r>
  <r>
    <s v="ORD-000755"/>
    <x v="5"/>
    <s v="PA-006"/>
    <n v="109700"/>
    <x v="1"/>
  </r>
  <r>
    <s v="ORD-000756"/>
    <x v="5"/>
    <s v="PA-006"/>
    <n v="45900"/>
    <x v="1"/>
  </r>
  <r>
    <s v="ORD-000757"/>
    <x v="18"/>
    <s v="PA-019"/>
    <n v="51700"/>
    <x v="1"/>
  </r>
  <r>
    <s v="ORD-000758"/>
    <x v="6"/>
    <s v="PA-007"/>
    <n v="239100"/>
    <x v="1"/>
  </r>
  <r>
    <s v="ORD-000759"/>
    <x v="24"/>
    <s v="PA-025"/>
    <n v="179500"/>
    <x v="1"/>
  </r>
  <r>
    <s v="ORD-000760"/>
    <x v="7"/>
    <s v="PA-008"/>
    <n v="294700"/>
    <x v="1"/>
  </r>
  <r>
    <s v="ORD-000761"/>
    <x v="69"/>
    <s v="PA-076"/>
    <n v="109400"/>
    <x v="1"/>
  </r>
  <r>
    <s v="ORD-000762"/>
    <x v="8"/>
    <s v="PA-009"/>
    <n v="39200"/>
    <x v="1"/>
  </r>
  <r>
    <s v="ORD-000763"/>
    <x v="31"/>
    <s v="PA-035"/>
    <n v="89300"/>
    <x v="1"/>
  </r>
  <r>
    <s v="ORD-000764"/>
    <x v="8"/>
    <s v="PA-009"/>
    <n v="100100"/>
    <x v="1"/>
  </r>
  <r>
    <s v="ORD-000765"/>
    <x v="4"/>
    <s v="PA-005"/>
    <n v="150900"/>
    <x v="1"/>
  </r>
  <r>
    <s v="ORD-000766"/>
    <x v="11"/>
    <s v="PA-012"/>
    <n v="45000"/>
    <x v="1"/>
  </r>
  <r>
    <s v="ORD-000767"/>
    <x v="35"/>
    <s v="PA-039"/>
    <n v="143700"/>
    <x v="1"/>
  </r>
  <r>
    <s v="ORD-000768"/>
    <x v="53"/>
    <s v="PA-058"/>
    <n v="69100"/>
    <x v="1"/>
  </r>
  <r>
    <s v="ORD-000769"/>
    <x v="35"/>
    <s v="PA-039"/>
    <n v="45600"/>
    <x v="1"/>
  </r>
  <r>
    <s v="ORD-000770"/>
    <x v="0"/>
    <s v="PA-001"/>
    <n v="104500"/>
    <x v="1"/>
  </r>
  <r>
    <s v="ORD-000771"/>
    <x v="0"/>
    <s v="PA-001"/>
    <n v="82200"/>
    <x v="1"/>
  </r>
  <r>
    <s v="ORD-000772"/>
    <x v="9"/>
    <s v="PA-010"/>
    <n v="43500"/>
    <x v="1"/>
  </r>
  <r>
    <s v="ORD-000773"/>
    <x v="64"/>
    <s v="PA-069"/>
    <n v="87800"/>
    <x v="1"/>
  </r>
  <r>
    <s v="ORD-000774"/>
    <x v="4"/>
    <s v="PA-005"/>
    <n v="128500"/>
    <x v="1"/>
  </r>
  <r>
    <s v="ORD-000775"/>
    <x v="6"/>
    <s v="PA-007"/>
    <n v="296000"/>
    <x v="1"/>
  </r>
  <r>
    <s v="ORD-000776"/>
    <x v="5"/>
    <s v="PA-006"/>
    <n v="40100"/>
    <x v="1"/>
  </r>
  <r>
    <s v="ORD-000777"/>
    <x v="6"/>
    <s v="PA-007"/>
    <n v="177200"/>
    <x v="1"/>
  </r>
  <r>
    <s v="ORD-000778"/>
    <x v="17"/>
    <s v="PA-018"/>
    <n v="52500"/>
    <x v="1"/>
  </r>
  <r>
    <s v="ORD-000779"/>
    <x v="5"/>
    <s v="PA-006"/>
    <n v="49500"/>
    <x v="1"/>
  </r>
  <r>
    <s v="ORD-000780"/>
    <x v="19"/>
    <s v="PA-020"/>
    <n v="119800"/>
    <x v="1"/>
  </r>
  <r>
    <s v="ORD-000781"/>
    <x v="73"/>
    <s v="PA-083"/>
    <n v="217200"/>
    <x v="1"/>
  </r>
  <r>
    <s v="ORD-000782"/>
    <x v="17"/>
    <s v="PA-018"/>
    <n v="57200"/>
    <x v="1"/>
  </r>
  <r>
    <s v="ORD-000783"/>
    <x v="5"/>
    <s v="PA-006"/>
    <n v="56700"/>
    <x v="1"/>
  </r>
  <r>
    <s v="ORD-000784"/>
    <x v="60"/>
    <s v="PA-065"/>
    <n v="68900"/>
    <x v="1"/>
  </r>
  <r>
    <s v="ORD-000785"/>
    <x v="9"/>
    <s v="PA-010"/>
    <n v="265100"/>
    <x v="1"/>
  </r>
  <r>
    <s v="ORD-000786"/>
    <x v="2"/>
    <s v="PA-003"/>
    <n v="38500"/>
    <x v="1"/>
  </r>
  <r>
    <s v="ORD-000787"/>
    <x v="8"/>
    <s v="PA-009"/>
    <n v="55400"/>
    <x v="1"/>
  </r>
  <r>
    <s v="ORD-000788"/>
    <x v="8"/>
    <s v="PA-009"/>
    <n v="68800"/>
    <x v="1"/>
  </r>
  <r>
    <s v="ORD-000789"/>
    <x v="8"/>
    <s v="PA-009"/>
    <n v="111500"/>
    <x v="1"/>
  </r>
  <r>
    <s v="ORD-000790"/>
    <x v="19"/>
    <s v="PA-020"/>
    <n v="103700"/>
    <x v="1"/>
  </r>
  <r>
    <s v="ORD-000791"/>
    <x v="10"/>
    <s v="PA-011"/>
    <n v="0"/>
    <x v="1"/>
  </r>
  <r>
    <s v="ORD-000792"/>
    <x v="17"/>
    <s v="PA-018"/>
    <n v="65100"/>
    <x v="1"/>
  </r>
  <r>
    <s v="ORD-000793"/>
    <x v="28"/>
    <s v="PA-032"/>
    <n v="198300"/>
    <x v="1"/>
  </r>
  <r>
    <s v="ORD-000794"/>
    <x v="0"/>
    <s v="PA-001"/>
    <n v="52800"/>
    <x v="1"/>
  </r>
  <r>
    <s v="ORD-000795"/>
    <x v="0"/>
    <s v="PA-001"/>
    <n v="65400"/>
    <x v="1"/>
  </r>
  <r>
    <s v="ORD-000796"/>
    <x v="0"/>
    <s v="PA-001"/>
    <n v="59700"/>
    <x v="1"/>
  </r>
  <r>
    <s v="ORD-000797"/>
    <x v="23"/>
    <s v="PA-024"/>
    <n v="61500"/>
    <x v="1"/>
  </r>
  <r>
    <s v="ORD-000798"/>
    <x v="26"/>
    <s v="PA-030"/>
    <n v="42300"/>
    <x v="1"/>
  </r>
  <r>
    <s v="ORD-000799"/>
    <x v="26"/>
    <s v="PA-030"/>
    <n v="51400"/>
    <x v="1"/>
  </r>
  <r>
    <s v="ORD-000800"/>
    <x v="50"/>
    <s v="PA-055"/>
    <n v="33900"/>
    <x v="1"/>
  </r>
  <r>
    <s v="ORD-000801"/>
    <x v="0"/>
    <s v="PA-001"/>
    <n v="118200"/>
    <x v="1"/>
  </r>
  <r>
    <s v="ORD-000802"/>
    <x v="0"/>
    <s v="PA-001"/>
    <n v="136200"/>
    <x v="1"/>
  </r>
  <r>
    <s v="ORD-000803"/>
    <x v="6"/>
    <s v="PA-007"/>
    <n v="283800"/>
    <x v="1"/>
  </r>
  <r>
    <s v="ORD-000804"/>
    <x v="4"/>
    <s v="PA-005"/>
    <n v="63400"/>
    <x v="1"/>
  </r>
  <r>
    <s v="ORD-000805"/>
    <x v="4"/>
    <s v="PA-005"/>
    <n v="54000"/>
    <x v="1"/>
  </r>
  <r>
    <s v="ORD-000806"/>
    <x v="4"/>
    <s v="PA-005"/>
    <n v="199000"/>
    <x v="1"/>
  </r>
  <r>
    <s v="ORD-000807"/>
    <x v="4"/>
    <s v="PA-005"/>
    <n v="186200"/>
    <x v="1"/>
  </r>
  <r>
    <s v="ORD-000808"/>
    <x v="12"/>
    <s v="PA-013"/>
    <n v="1987800"/>
    <x v="1"/>
  </r>
  <r>
    <s v="ORD-000809"/>
    <x v="26"/>
    <s v="PA-030"/>
    <n v="112100"/>
    <x v="1"/>
  </r>
  <r>
    <s v="ORD-000810"/>
    <x v="6"/>
    <s v="PA-007"/>
    <n v="190200"/>
    <x v="1"/>
  </r>
  <r>
    <s v="ORD-000811"/>
    <x v="6"/>
    <s v="PA-007"/>
    <n v="224300"/>
    <x v="1"/>
  </r>
  <r>
    <s v="ORD-000812"/>
    <x v="6"/>
    <s v="PA-007"/>
    <n v="216700"/>
    <x v="1"/>
  </r>
  <r>
    <s v="ORD-000813"/>
    <x v="6"/>
    <s v="PA-007"/>
    <n v="270600"/>
    <x v="1"/>
  </r>
  <r>
    <s v="ORD-000814"/>
    <x v="69"/>
    <s v="PA-076"/>
    <n v="241600"/>
    <x v="1"/>
  </r>
  <r>
    <s v="ORD-000815"/>
    <x v="14"/>
    <s v="PA-015"/>
    <n v="202800"/>
    <x v="1"/>
  </r>
  <r>
    <s v="ORD-000816"/>
    <x v="28"/>
    <s v="PA-032"/>
    <n v="250100"/>
    <x v="1"/>
  </r>
  <r>
    <s v="ORD-000817"/>
    <x v="57"/>
    <s v="PA-062"/>
    <n v="92000"/>
    <x v="1"/>
  </r>
  <r>
    <s v="ORD-000818"/>
    <x v="57"/>
    <s v="PA-062"/>
    <n v="119200"/>
    <x v="1"/>
  </r>
  <r>
    <s v="ORD-000819"/>
    <x v="8"/>
    <s v="PA-009"/>
    <n v="141600"/>
    <x v="1"/>
  </r>
  <r>
    <s v="ORD-000820"/>
    <x v="17"/>
    <s v="PA-018"/>
    <n v="58500"/>
    <x v="1"/>
  </r>
  <r>
    <s v="ORD-000821"/>
    <x v="4"/>
    <s v="PA-005"/>
    <n v="170600"/>
    <x v="1"/>
  </r>
  <r>
    <s v="ORD-000822"/>
    <x v="69"/>
    <s v="PA-076"/>
    <n v="182700"/>
    <x v="1"/>
  </r>
  <r>
    <s v="ORD-000823"/>
    <x v="74"/>
    <s v="PA-084"/>
    <n v="47200"/>
    <x v="1"/>
  </r>
  <r>
    <s v="ORD-000824"/>
    <x v="19"/>
    <s v="PA-020"/>
    <n v="90000"/>
    <x v="1"/>
  </r>
  <r>
    <s v="ORD-000825"/>
    <x v="6"/>
    <s v="PA-007"/>
    <n v="49600"/>
    <x v="1"/>
  </r>
  <r>
    <s v="ORD-000826"/>
    <x v="35"/>
    <s v="PA-039"/>
    <n v="49600"/>
    <x v="1"/>
  </r>
  <r>
    <s v="ORD-000827"/>
    <x v="4"/>
    <s v="PA-005"/>
    <n v="145900"/>
    <x v="1"/>
  </r>
  <r>
    <s v="ORD-000828"/>
    <x v="29"/>
    <s v="PA-033"/>
    <n v="206100"/>
    <x v="1"/>
  </r>
  <r>
    <s v="ORD-000829"/>
    <x v="5"/>
    <s v="PA-006"/>
    <n v="42900"/>
    <x v="1"/>
  </r>
  <r>
    <s v="ORD-000830"/>
    <x v="4"/>
    <s v="PA-005"/>
    <n v="178600"/>
    <x v="1"/>
  </r>
  <r>
    <s v="ORD-000831"/>
    <x v="13"/>
    <s v="PA-014"/>
    <n v="55600"/>
    <x v="1"/>
  </r>
  <r>
    <s v="ORD-000832"/>
    <x v="21"/>
    <s v="PA-022"/>
    <n v="18600"/>
    <x v="1"/>
  </r>
  <r>
    <s v="ORD-000833"/>
    <x v="19"/>
    <s v="PA-020"/>
    <n v="115100"/>
    <x v="1"/>
  </r>
  <r>
    <s v="ORD-000834"/>
    <x v="4"/>
    <s v="PA-005"/>
    <n v="67800"/>
    <x v="1"/>
  </r>
  <r>
    <s v="ORD-000835"/>
    <x v="7"/>
    <s v="PA-008"/>
    <n v="229600"/>
    <x v="1"/>
  </r>
  <r>
    <s v="ORD-000836"/>
    <x v="6"/>
    <s v="PA-007"/>
    <n v="42200"/>
    <x v="1"/>
  </r>
  <r>
    <s v="ORD-000837"/>
    <x v="6"/>
    <s v="PA-007"/>
    <n v="57300"/>
    <x v="1"/>
  </r>
  <r>
    <s v="ORD-000838"/>
    <x v="13"/>
    <s v="PA-014"/>
    <n v="43200"/>
    <x v="1"/>
  </r>
  <r>
    <s v="ORD-000839"/>
    <x v="17"/>
    <s v="PA-018"/>
    <n v="31700"/>
    <x v="1"/>
  </r>
  <r>
    <s v="ORD-000840"/>
    <x v="9"/>
    <s v="PA-010"/>
    <n v="232200"/>
    <x v="1"/>
  </r>
  <r>
    <s v="ORD-000841"/>
    <x v="5"/>
    <s v="PA-006"/>
    <n v="47300"/>
    <x v="1"/>
  </r>
  <r>
    <s v="ORD-000842"/>
    <x v="8"/>
    <s v="PA-009"/>
    <n v="221100"/>
    <x v="1"/>
  </r>
  <r>
    <s v="ORD-000843"/>
    <x v="4"/>
    <s v="PA-005"/>
    <n v="49700"/>
    <x v="1"/>
  </r>
  <r>
    <s v="ORD-000844"/>
    <x v="4"/>
    <s v="PA-005"/>
    <n v="52800"/>
    <x v="1"/>
  </r>
  <r>
    <s v="ORD-000845"/>
    <x v="4"/>
    <s v="PA-005"/>
    <n v="49700"/>
    <x v="1"/>
  </r>
  <r>
    <s v="ORD-000846"/>
    <x v="75"/>
    <s v="PA-085"/>
    <n v="53700"/>
    <x v="1"/>
  </r>
  <r>
    <s v="ORD-000847"/>
    <x v="9"/>
    <s v="PA-010"/>
    <n v="122400"/>
    <x v="1"/>
  </r>
  <r>
    <s v="ORD-000848"/>
    <x v="60"/>
    <s v="PA-065"/>
    <n v="2500"/>
    <x v="1"/>
  </r>
  <r>
    <s v="ORD-000849"/>
    <x v="4"/>
    <s v="PA-005"/>
    <n v="137800"/>
    <x v="1"/>
  </r>
  <r>
    <s v="ORD-000850"/>
    <x v="8"/>
    <s v="PA-009"/>
    <n v="184300"/>
    <x v="1"/>
  </r>
  <r>
    <s v="ORD-000851"/>
    <x v="13"/>
    <s v="PA-014"/>
    <n v="53000"/>
    <x v="1"/>
  </r>
  <r>
    <s v="ORD-000852"/>
    <x v="6"/>
    <s v="PA-007"/>
    <n v="58600"/>
    <x v="1"/>
  </r>
  <r>
    <s v="ORD-000853"/>
    <x v="13"/>
    <s v="PA-014"/>
    <n v="46200"/>
    <x v="1"/>
  </r>
  <r>
    <s v="ORD-000854"/>
    <x v="5"/>
    <s v="PA-006"/>
    <n v="145000"/>
    <x v="1"/>
  </r>
  <r>
    <s v="ORD-000855"/>
    <x v="0"/>
    <s v="PA-001"/>
    <n v="42100"/>
    <x v="1"/>
  </r>
  <r>
    <s v="ORD-000856"/>
    <x v="0"/>
    <s v="PA-001"/>
    <n v="46900"/>
    <x v="1"/>
  </r>
  <r>
    <s v="ORD-000857"/>
    <x v="5"/>
    <s v="PA-006"/>
    <n v="38900"/>
    <x v="1"/>
  </r>
  <r>
    <s v="ORD-000858"/>
    <x v="0"/>
    <s v="PA-001"/>
    <n v="43300"/>
    <x v="1"/>
  </r>
  <r>
    <s v="ORD-000859"/>
    <x v="0"/>
    <s v="PA-001"/>
    <n v="50600"/>
    <x v="1"/>
  </r>
  <r>
    <s v="ORD-000860"/>
    <x v="24"/>
    <s v="PA-025"/>
    <n v="4500"/>
    <x v="1"/>
  </r>
  <r>
    <s v="ORD-000861"/>
    <x v="24"/>
    <s v="PA-025"/>
    <n v="8400"/>
    <x v="1"/>
  </r>
  <r>
    <s v="ORD-000862"/>
    <x v="24"/>
    <s v="PA-025"/>
    <n v="14800"/>
    <x v="1"/>
  </r>
  <r>
    <s v="ORD-000863"/>
    <x v="17"/>
    <s v="PA-018"/>
    <n v="57400"/>
    <x v="1"/>
  </r>
  <r>
    <s v="ORD-000864"/>
    <x v="24"/>
    <s v="PA-025"/>
    <n v="10600"/>
    <x v="2"/>
  </r>
  <r>
    <s v="ORD-000865"/>
    <x v="28"/>
    <s v="PA-032"/>
    <n v="0"/>
    <x v="2"/>
  </r>
  <r>
    <s v="ORD-000866"/>
    <x v="9"/>
    <s v="PA-010"/>
    <n v="43700"/>
    <x v="2"/>
  </r>
  <r>
    <s v="ORD-000867"/>
    <x v="5"/>
    <s v="PA-006"/>
    <n v="44500"/>
    <x v="2"/>
  </r>
  <r>
    <s v="ORD-000868"/>
    <x v="6"/>
    <s v="PA-007"/>
    <n v="148600"/>
    <x v="2"/>
  </r>
  <r>
    <s v="ORD-000869"/>
    <x v="8"/>
    <s v="PA-009"/>
    <n v="70600"/>
    <x v="2"/>
  </r>
  <r>
    <s v="ORD-000870"/>
    <x v="50"/>
    <s v="PA-055"/>
    <n v="25600"/>
    <x v="2"/>
  </r>
  <r>
    <s v="ORD-000871"/>
    <x v="23"/>
    <s v="PA-024"/>
    <n v="62900"/>
    <x v="2"/>
  </r>
  <r>
    <s v="ORD-000872"/>
    <x v="24"/>
    <s v="PA-025"/>
    <n v="48800"/>
    <x v="2"/>
  </r>
  <r>
    <s v="ORD-000873"/>
    <x v="19"/>
    <s v="PA-020"/>
    <n v="20500"/>
    <x v="2"/>
  </r>
  <r>
    <s v="ORD-000874"/>
    <x v="76"/>
    <s v="PA-086"/>
    <n v="13300"/>
    <x v="2"/>
  </r>
  <r>
    <s v="ORD-000875"/>
    <x v="60"/>
    <s v="PA-065"/>
    <n v="4700"/>
    <x v="2"/>
  </r>
  <r>
    <s v="ORD-000876"/>
    <x v="6"/>
    <s v="PA-007"/>
    <n v="1200"/>
    <x v="2"/>
  </r>
  <r>
    <s v="ORD-000877"/>
    <x v="6"/>
    <s v="PA-007"/>
    <n v="1200"/>
    <x v="2"/>
  </r>
  <r>
    <s v="ORD-000878"/>
    <x v="6"/>
    <s v="PA-007"/>
    <n v="4500"/>
    <x v="2"/>
  </r>
  <r>
    <s v="ORD-000879"/>
    <x v="6"/>
    <s v="PA-007"/>
    <n v="265200"/>
    <x v="2"/>
  </r>
  <r>
    <s v="ORD-000880"/>
    <x v="24"/>
    <s v="PA-025"/>
    <n v="0"/>
    <x v="2"/>
  </r>
  <r>
    <s v="ORD-000881"/>
    <x v="29"/>
    <s v="PA-033"/>
    <n v="52200"/>
    <x v="2"/>
  </r>
  <r>
    <s v="ORD-000882"/>
    <x v="29"/>
    <s v="PA-033"/>
    <n v="59500"/>
    <x v="2"/>
  </r>
  <r>
    <s v="ORD-000883"/>
    <x v="0"/>
    <s v="PA-001"/>
    <n v="57900"/>
    <x v="2"/>
  </r>
  <r>
    <s v="ORD-000884"/>
    <x v="14"/>
    <s v="PA-015"/>
    <n v="51100"/>
    <x v="2"/>
  </r>
  <r>
    <s v="ORD-000885"/>
    <x v="77"/>
    <s v="PA-087"/>
    <n v="108000"/>
    <x v="2"/>
  </r>
  <r>
    <s v="ORD-000886"/>
    <x v="16"/>
    <s v="PA-017"/>
    <n v="332000"/>
    <x v="2"/>
  </r>
  <r>
    <s v="ORD-000887"/>
    <x v="0"/>
    <s v="PA-001"/>
    <n v="54900"/>
    <x v="2"/>
  </r>
  <r>
    <s v="ORD-000888"/>
    <x v="9"/>
    <s v="PA-010"/>
    <n v="42900"/>
    <x v="2"/>
  </r>
  <r>
    <s v="ORD-000889"/>
    <x v="9"/>
    <s v="PA-010"/>
    <n v="75900"/>
    <x v="2"/>
  </r>
  <r>
    <s v="ORD-000890"/>
    <x v="6"/>
    <s v="PA-007"/>
    <n v="38800"/>
    <x v="2"/>
  </r>
  <r>
    <s v="ORD-000891"/>
    <x v="27"/>
    <s v="PA-031"/>
    <n v="43600"/>
    <x v="2"/>
  </r>
  <r>
    <s v="ORD-000892"/>
    <x v="19"/>
    <s v="PA-020"/>
    <n v="126600"/>
    <x v="2"/>
  </r>
  <r>
    <s v="ORD-000893"/>
    <x v="16"/>
    <s v="PA-017"/>
    <n v="193900"/>
    <x v="2"/>
  </r>
  <r>
    <s v="ORD-000894"/>
    <x v="16"/>
    <s v="PA-017"/>
    <n v="130900"/>
    <x v="2"/>
  </r>
  <r>
    <s v="ORD-000895"/>
    <x v="36"/>
    <s v="PA-040"/>
    <n v="65400"/>
    <x v="2"/>
  </r>
  <r>
    <s v="ORD-000896"/>
    <x v="4"/>
    <s v="PA-005"/>
    <n v="182600"/>
    <x v="2"/>
  </r>
  <r>
    <s v="ORD-000897"/>
    <x v="11"/>
    <s v="PA-012"/>
    <n v="53100"/>
    <x v="2"/>
  </r>
  <r>
    <s v="ORD-000898"/>
    <x v="6"/>
    <s v="PA-007"/>
    <n v="142600"/>
    <x v="2"/>
  </r>
  <r>
    <s v="ORD-000899"/>
    <x v="0"/>
    <s v="PA-001"/>
    <n v="0"/>
    <x v="2"/>
  </r>
  <r>
    <s v="ORD-000900"/>
    <x v="78"/>
    <s v="PA-088"/>
    <n v="132400"/>
    <x v="2"/>
  </r>
  <r>
    <s v="ORD-000901"/>
    <x v="28"/>
    <s v="PA-032"/>
    <n v="0"/>
    <x v="2"/>
  </r>
  <r>
    <s v="ORD-000902"/>
    <x v="4"/>
    <s v="PA-005"/>
    <n v="84000"/>
    <x v="2"/>
  </r>
  <r>
    <s v="ORD-000903"/>
    <x v="8"/>
    <s v="PA-009"/>
    <n v="205100"/>
    <x v="2"/>
  </r>
  <r>
    <s v="ORD-000904"/>
    <x v="17"/>
    <s v="PA-018"/>
    <n v="67900"/>
    <x v="2"/>
  </r>
  <r>
    <s v="ORD-000905"/>
    <x v="22"/>
    <s v="PA-023"/>
    <n v="66100"/>
    <x v="2"/>
  </r>
  <r>
    <s v="ORD-000906"/>
    <x v="6"/>
    <s v="PA-007"/>
    <n v="271700"/>
    <x v="2"/>
  </r>
  <r>
    <s v="ORD-000907"/>
    <x v="6"/>
    <s v="PA-007"/>
    <n v="319700"/>
    <x v="2"/>
  </r>
  <r>
    <s v="ORD-000908"/>
    <x v="10"/>
    <s v="PA-011"/>
    <n v="81600"/>
    <x v="2"/>
  </r>
  <r>
    <s v="ORD-000909"/>
    <x v="10"/>
    <s v="PA-011"/>
    <n v="69000"/>
    <x v="2"/>
  </r>
  <r>
    <s v="ORD-000910"/>
    <x v="10"/>
    <s v="PA-011"/>
    <n v="89000"/>
    <x v="2"/>
  </r>
  <r>
    <s v="ORD-000911"/>
    <x v="79"/>
    <s v="PA-089"/>
    <n v="71200"/>
    <x v="2"/>
  </r>
  <r>
    <s v="ORD-000912"/>
    <x v="80"/>
    <s v="PA-090"/>
    <n v="130100"/>
    <x v="2"/>
  </r>
  <r>
    <s v="ORD-000913"/>
    <x v="8"/>
    <s v="PA-009"/>
    <n v="41200"/>
    <x v="2"/>
  </r>
  <r>
    <s v="ORD-000914"/>
    <x v="8"/>
    <s v="PA-009"/>
    <n v="47500"/>
    <x v="2"/>
  </r>
  <r>
    <s v="ORD-000915"/>
    <x v="25"/>
    <s v="PA-026"/>
    <n v="180400"/>
    <x v="2"/>
  </r>
  <r>
    <s v="ORD-000916"/>
    <x v="8"/>
    <s v="PA-009"/>
    <n v="117400"/>
    <x v="2"/>
  </r>
  <r>
    <s v="ORD-000917"/>
    <x v="60"/>
    <s v="PA-065"/>
    <n v="58200"/>
    <x v="2"/>
  </r>
  <r>
    <s v="ORD-000918"/>
    <x v="4"/>
    <s v="PA-005"/>
    <n v="171300"/>
    <x v="2"/>
  </r>
  <r>
    <s v="ORD-000919"/>
    <x v="60"/>
    <s v="PA-065"/>
    <n v="44400"/>
    <x v="2"/>
  </r>
  <r>
    <s v="ORD-000920"/>
    <x v="42"/>
    <s v="PA-046"/>
    <n v="87800"/>
    <x v="2"/>
  </r>
  <r>
    <s v="ORD-000921"/>
    <x v="8"/>
    <s v="PA-009"/>
    <n v="140300"/>
    <x v="2"/>
  </r>
  <r>
    <s v="ORD-000922"/>
    <x v="17"/>
    <s v="PA-018"/>
    <n v="42700"/>
    <x v="2"/>
  </r>
  <r>
    <s v="ORD-000923"/>
    <x v="4"/>
    <s v="PA-005"/>
    <n v="59500"/>
    <x v="2"/>
  </r>
  <r>
    <s v="ORD-000924"/>
    <x v="4"/>
    <s v="PA-005"/>
    <n v="72600"/>
    <x v="2"/>
  </r>
  <r>
    <s v="ORD-000925"/>
    <x v="4"/>
    <s v="PA-005"/>
    <n v="49600"/>
    <x v="2"/>
  </r>
  <r>
    <s v="ORD-000926"/>
    <x v="4"/>
    <s v="PA-005"/>
    <n v="72000"/>
    <x v="2"/>
  </r>
  <r>
    <s v="ORD-000927"/>
    <x v="4"/>
    <s v="PA-005"/>
    <n v="68800"/>
    <x v="2"/>
  </r>
  <r>
    <s v="ORD-000928"/>
    <x v="6"/>
    <s v="PA-007"/>
    <n v="279400"/>
    <x v="2"/>
  </r>
  <r>
    <s v="ORD-000929"/>
    <x v="42"/>
    <s v="PA-046"/>
    <n v="188800"/>
    <x v="2"/>
  </r>
  <r>
    <s v="ORD-000930"/>
    <x v="81"/>
    <s v="PA-091"/>
    <n v="63900"/>
    <x v="2"/>
  </r>
  <r>
    <s v="ORD-000931"/>
    <x v="82"/>
    <s v="PA-092"/>
    <n v="104600"/>
    <x v="2"/>
  </r>
  <r>
    <s v="ORD-000932"/>
    <x v="6"/>
    <s v="PA-007"/>
    <n v="132700"/>
    <x v="2"/>
  </r>
  <r>
    <s v="ORD-000933"/>
    <x v="24"/>
    <s v="PA-025"/>
    <n v="70800"/>
    <x v="2"/>
  </r>
  <r>
    <s v="ORD-000934"/>
    <x v="9"/>
    <s v="PA-010"/>
    <n v="126300"/>
    <x v="2"/>
  </r>
  <r>
    <s v="ORD-000935"/>
    <x v="27"/>
    <s v="PA-031"/>
    <n v="144900"/>
    <x v="2"/>
  </r>
  <r>
    <s v="ORD-000936"/>
    <x v="34"/>
    <s v="PA-038"/>
    <n v="217000"/>
    <x v="2"/>
  </r>
  <r>
    <s v="ORD-000937"/>
    <x v="4"/>
    <s v="PA-005"/>
    <n v="90800"/>
    <x v="2"/>
  </r>
  <r>
    <s v="ORD-000938"/>
    <x v="42"/>
    <s v="PA-046"/>
    <n v="172700"/>
    <x v="2"/>
  </r>
  <r>
    <s v="ORD-000939"/>
    <x v="8"/>
    <s v="PA-009"/>
    <n v="161500"/>
    <x v="2"/>
  </r>
  <r>
    <s v="ORD-000940"/>
    <x v="83"/>
    <s v="PA-093"/>
    <n v="61200"/>
    <x v="2"/>
  </r>
  <r>
    <s v="ORD-000941"/>
    <x v="6"/>
    <s v="PA-007"/>
    <n v="40100"/>
    <x v="2"/>
  </r>
  <r>
    <s v="ORD-000942"/>
    <x v="6"/>
    <s v="PA-007"/>
    <n v="39400"/>
    <x v="2"/>
  </r>
  <r>
    <s v="ORD-000943"/>
    <x v="9"/>
    <s v="PA-010"/>
    <n v="36400"/>
    <x v="2"/>
  </r>
  <r>
    <s v="ORD-000944"/>
    <x v="9"/>
    <s v="PA-010"/>
    <n v="91100"/>
    <x v="2"/>
  </r>
  <r>
    <s v="ORD-000945"/>
    <x v="9"/>
    <s v="PA-010"/>
    <n v="136200"/>
    <x v="2"/>
  </r>
  <r>
    <s v="ORD-000946"/>
    <x v="64"/>
    <s v="PA-069"/>
    <n v="98700"/>
    <x v="2"/>
  </r>
  <r>
    <s v="ORD-000947"/>
    <x v="9"/>
    <s v="PA-010"/>
    <n v="140100"/>
    <x v="2"/>
  </r>
  <r>
    <s v="ORD-000948"/>
    <x v="24"/>
    <s v="PA-025"/>
    <n v="92900"/>
    <x v="2"/>
  </r>
  <r>
    <s v="ORD-000949"/>
    <x v="4"/>
    <s v="PA-005"/>
    <n v="61500"/>
    <x v="2"/>
  </r>
  <r>
    <s v="ORD-000950"/>
    <x v="4"/>
    <s v="PA-005"/>
    <n v="52100"/>
    <x v="2"/>
  </r>
  <r>
    <s v="ORD-000951"/>
    <x v="24"/>
    <s v="PA-025"/>
    <n v="44100"/>
    <x v="2"/>
  </r>
  <r>
    <s v="ORD-000952"/>
    <x v="19"/>
    <s v="PA-020"/>
    <n v="128800"/>
    <x v="2"/>
  </r>
  <r>
    <s v="ORD-000953"/>
    <x v="19"/>
    <s v="PA-020"/>
    <n v="175300"/>
    <x v="2"/>
  </r>
  <r>
    <s v="ORD-000954"/>
    <x v="19"/>
    <s v="PA-020"/>
    <n v="157100"/>
    <x v="2"/>
  </r>
  <r>
    <s v="ORD-000955"/>
    <x v="6"/>
    <s v="PA-007"/>
    <n v="45900"/>
    <x v="2"/>
  </r>
  <r>
    <s v="ORD-000956"/>
    <x v="27"/>
    <s v="PA-031"/>
    <n v="91100"/>
    <x v="2"/>
  </r>
  <r>
    <s v="ORD-000957"/>
    <x v="4"/>
    <s v="PA-005"/>
    <n v="57900"/>
    <x v="2"/>
  </r>
  <r>
    <s v="ORD-000958"/>
    <x v="4"/>
    <s v="PA-005"/>
    <n v="54100"/>
    <x v="2"/>
  </r>
  <r>
    <s v="ORD-000959"/>
    <x v="17"/>
    <s v="PA-018"/>
    <n v="67800"/>
    <x v="2"/>
  </r>
  <r>
    <s v="ORD-000960"/>
    <x v="38"/>
    <s v="PA-042"/>
    <n v="64600"/>
    <x v="2"/>
  </r>
  <r>
    <s v="ORD-000961"/>
    <x v="8"/>
    <s v="PA-009"/>
    <n v="352300"/>
    <x v="2"/>
  </r>
  <r>
    <s v="ORD-000962"/>
    <x v="42"/>
    <s v="PA-046"/>
    <n v="53800"/>
    <x v="2"/>
  </r>
  <r>
    <s v="ORD-000963"/>
    <x v="4"/>
    <s v="PA-005"/>
    <n v="72900"/>
    <x v="2"/>
  </r>
  <r>
    <s v="ORD-000964"/>
    <x v="6"/>
    <s v="PA-007"/>
    <n v="243500"/>
    <x v="2"/>
  </r>
  <r>
    <s v="ORD-000965"/>
    <x v="6"/>
    <s v="PA-007"/>
    <n v="53500"/>
    <x v="2"/>
  </r>
  <r>
    <s v="ORD-000966"/>
    <x v="9"/>
    <s v="PA-010"/>
    <n v="136400"/>
    <x v="2"/>
  </r>
  <r>
    <s v="ORD-000967"/>
    <x v="9"/>
    <s v="PA-010"/>
    <n v="165500"/>
    <x v="2"/>
  </r>
  <r>
    <s v="ORD-000968"/>
    <x v="60"/>
    <s v="PA-065"/>
    <n v="66000"/>
    <x v="2"/>
  </r>
  <r>
    <s v="ORD-000969"/>
    <x v="60"/>
    <s v="PA-065"/>
    <n v="62000"/>
    <x v="2"/>
  </r>
  <r>
    <s v="ORD-000970"/>
    <x v="9"/>
    <s v="PA-010"/>
    <n v="131400"/>
    <x v="2"/>
  </r>
  <r>
    <s v="ORD-000971"/>
    <x v="9"/>
    <s v="PA-010"/>
    <n v="93800"/>
    <x v="2"/>
  </r>
  <r>
    <s v="ORD-000972"/>
    <x v="8"/>
    <s v="PA-009"/>
    <n v="183700"/>
    <x v="2"/>
  </r>
  <r>
    <s v="ORD-000973"/>
    <x v="16"/>
    <s v="PA-017"/>
    <n v="102600"/>
    <x v="2"/>
  </r>
  <r>
    <s v="ORD-000974"/>
    <x v="28"/>
    <s v="PA-032"/>
    <n v="69500"/>
    <x v="2"/>
  </r>
  <r>
    <s v="ORD-000975"/>
    <x v="8"/>
    <s v="PA-009"/>
    <n v="0"/>
    <x v="2"/>
  </r>
  <r>
    <s v="ORD-000976"/>
    <x v="24"/>
    <s v="PA-025"/>
    <n v="54000"/>
    <x v="2"/>
  </r>
  <r>
    <s v="ORD-000977"/>
    <x v="24"/>
    <s v="PA-025"/>
    <n v="43500"/>
    <x v="2"/>
  </r>
  <r>
    <s v="ORD-000978"/>
    <x v="24"/>
    <s v="PA-025"/>
    <n v="40200"/>
    <x v="2"/>
  </r>
  <r>
    <s v="ORD-000979"/>
    <x v="84"/>
    <s v="PA-094"/>
    <n v="196700"/>
    <x v="2"/>
  </r>
  <r>
    <s v="ORD-000980"/>
    <x v="60"/>
    <s v="PA-065"/>
    <n v="47500"/>
    <x v="2"/>
  </r>
  <r>
    <s v="ORD-000981"/>
    <x v="76"/>
    <s v="PA-086"/>
    <n v="43500"/>
    <x v="2"/>
  </r>
  <r>
    <s v="ORD-000982"/>
    <x v="85"/>
    <s v="PA-096"/>
    <n v="0"/>
    <x v="2"/>
  </r>
  <r>
    <s v="ORD-000983"/>
    <x v="8"/>
    <s v="PA-009"/>
    <n v="46800"/>
    <x v="2"/>
  </r>
  <r>
    <s v="ORD-000984"/>
    <x v="86"/>
    <s v="PA-097"/>
    <n v="130600"/>
    <x v="2"/>
  </r>
  <r>
    <s v="ORD-000985"/>
    <x v="9"/>
    <s v="PA-010"/>
    <n v="42500"/>
    <x v="2"/>
  </r>
  <r>
    <s v="ORD-000986"/>
    <x v="4"/>
    <s v="PA-005"/>
    <n v="192700"/>
    <x v="2"/>
  </r>
  <r>
    <s v="ORD-000987"/>
    <x v="9"/>
    <s v="PA-010"/>
    <n v="64400"/>
    <x v="2"/>
  </r>
  <r>
    <s v="ORD-000988"/>
    <x v="9"/>
    <s v="PA-010"/>
    <n v="72900"/>
    <x v="2"/>
  </r>
  <r>
    <s v="ORD-000989"/>
    <x v="50"/>
    <s v="PA-055"/>
    <n v="28800"/>
    <x v="2"/>
  </r>
  <r>
    <s v="ORD-000990"/>
    <x v="8"/>
    <s v="PA-009"/>
    <n v="185900"/>
    <x v="2"/>
  </r>
  <r>
    <s v="ORD-000991"/>
    <x v="6"/>
    <s v="PA-007"/>
    <n v="52100"/>
    <x v="2"/>
  </r>
  <r>
    <s v="ORD-000992"/>
    <x v="6"/>
    <s v="PA-007"/>
    <n v="64900"/>
    <x v="2"/>
  </r>
  <r>
    <s v="ORD-000993"/>
    <x v="17"/>
    <s v="PA-018"/>
    <n v="43300"/>
    <x v="2"/>
  </r>
  <r>
    <s v="ORD-000994"/>
    <x v="8"/>
    <s v="PA-009"/>
    <n v="130700"/>
    <x v="2"/>
  </r>
  <r>
    <s v="ORD-000995"/>
    <x v="4"/>
    <s v="PA-005"/>
    <n v="222900"/>
    <x v="2"/>
  </r>
  <r>
    <s v="ORD-000996"/>
    <x v="42"/>
    <s v="PA-046"/>
    <n v="39700"/>
    <x v="2"/>
  </r>
  <r>
    <s v="ORD-000997"/>
    <x v="8"/>
    <s v="PA-009"/>
    <n v="44400"/>
    <x v="2"/>
  </r>
  <r>
    <s v="ORD-000998"/>
    <x v="4"/>
    <s v="PA-005"/>
    <n v="166000"/>
    <x v="2"/>
  </r>
  <r>
    <s v="ORD-000999"/>
    <x v="8"/>
    <s v="PA-009"/>
    <n v="0"/>
    <x v="2"/>
  </r>
  <r>
    <s v="ORD-001000"/>
    <x v="17"/>
    <s v="PA-018"/>
    <n v="68000"/>
    <x v="2"/>
  </r>
  <r>
    <s v="ORD-001001"/>
    <x v="17"/>
    <s v="PA-018"/>
    <n v="2500"/>
    <x v="2"/>
  </r>
  <r>
    <s v="ORD-001002"/>
    <x v="60"/>
    <s v="PA-065"/>
    <n v="55800"/>
    <x v="2"/>
  </r>
  <r>
    <s v="ORD-001003"/>
    <x v="22"/>
    <s v="PA-023"/>
    <n v="3500"/>
    <x v="2"/>
  </r>
  <r>
    <s v="ORD-001004"/>
    <x v="6"/>
    <s v="PA-007"/>
    <n v="4200"/>
    <x v="2"/>
  </r>
  <r>
    <s v="ORD-001005"/>
    <x v="17"/>
    <s v="PA-018"/>
    <n v="0"/>
    <x v="2"/>
  </r>
  <r>
    <s v="ORD-001006"/>
    <x v="17"/>
    <s v="PA-018"/>
    <n v="50200"/>
    <x v="2"/>
  </r>
  <r>
    <s v="ORD-001007"/>
    <x v="45"/>
    <s v="PA-050"/>
    <n v="139200"/>
    <x v="2"/>
  </r>
  <r>
    <s v="ORD-001008"/>
    <x v="6"/>
    <s v="PA-007"/>
    <n v="61900"/>
    <x v="2"/>
  </r>
  <r>
    <s v="ORD-001009"/>
    <x v="8"/>
    <s v="PA-009"/>
    <n v="195500"/>
    <x v="2"/>
  </r>
  <r>
    <s v="ORD-001010"/>
    <x v="28"/>
    <s v="PA-032"/>
    <n v="152400"/>
    <x v="2"/>
  </r>
  <r>
    <s v="ORD-001011"/>
    <x v="9"/>
    <s v="PA-010"/>
    <n v="47500"/>
    <x v="2"/>
  </r>
  <r>
    <s v="ORD-001012"/>
    <x v="9"/>
    <s v="PA-010"/>
    <n v="68400"/>
    <x v="2"/>
  </r>
  <r>
    <s v="ORD-001013"/>
    <x v="9"/>
    <s v="PA-010"/>
    <n v="64900"/>
    <x v="2"/>
  </r>
  <r>
    <s v="ORD-001014"/>
    <x v="9"/>
    <s v="PA-010"/>
    <n v="49500"/>
    <x v="2"/>
  </r>
  <r>
    <s v="ORD-001015"/>
    <x v="6"/>
    <s v="PA-007"/>
    <n v="235100"/>
    <x v="2"/>
  </r>
  <r>
    <s v="ORD-001016"/>
    <x v="40"/>
    <s v="PA-044"/>
    <n v="75500"/>
    <x v="2"/>
  </r>
  <r>
    <s v="ORD-001017"/>
    <x v="34"/>
    <s v="PA-038"/>
    <n v="88900"/>
    <x v="2"/>
  </r>
  <r>
    <s v="ORD-001018"/>
    <x v="4"/>
    <s v="PA-005"/>
    <n v="61900"/>
    <x v="2"/>
  </r>
  <r>
    <s v="ORD-001019"/>
    <x v="60"/>
    <s v="PA-065"/>
    <n v="46200"/>
    <x v="2"/>
  </r>
  <r>
    <s v="ORD-001020"/>
    <x v="19"/>
    <s v="PA-020"/>
    <n v="56600"/>
    <x v="2"/>
  </r>
  <r>
    <s v="ORD-001021"/>
    <x v="4"/>
    <s v="PA-005"/>
    <n v="67400"/>
    <x v="2"/>
  </r>
  <r>
    <s v="ORD-001022"/>
    <x v="87"/>
    <s v="PA-098"/>
    <n v="119200"/>
    <x v="2"/>
  </r>
  <r>
    <s v="ORD-001023"/>
    <x v="36"/>
    <s v="PA-040"/>
    <n v="1600"/>
    <x v="2"/>
  </r>
  <r>
    <s v="ORD-001024"/>
    <x v="6"/>
    <s v="PA-007"/>
    <n v="12600"/>
    <x v="2"/>
  </r>
  <r>
    <s v="ORD-001025"/>
    <x v="20"/>
    <s v="PA-021"/>
    <n v="11100"/>
    <x v="2"/>
  </r>
  <r>
    <s v="ORD-001026"/>
    <x v="29"/>
    <s v="PA-033"/>
    <n v="25300"/>
    <x v="2"/>
  </r>
  <r>
    <s v="ORD-001027"/>
    <x v="19"/>
    <s v="PA-020"/>
    <n v="8500"/>
    <x v="2"/>
  </r>
  <r>
    <s v="ORD-001028"/>
    <x v="24"/>
    <s v="PA-025"/>
    <n v="10900"/>
    <x v="2"/>
  </r>
  <r>
    <s v="ORD-001029"/>
    <x v="74"/>
    <s v="PA-084"/>
    <n v="5000"/>
    <x v="2"/>
  </r>
  <r>
    <s v="ORD-001030"/>
    <x v="60"/>
    <s v="PA-065"/>
    <n v="1800"/>
    <x v="2"/>
  </r>
  <r>
    <s v="ORD-001031"/>
    <x v="74"/>
    <s v="PA-084"/>
    <n v="4600"/>
    <x v="2"/>
  </r>
  <r>
    <s v="ORD-001032"/>
    <x v="11"/>
    <s v="PA-012"/>
    <n v="50400"/>
    <x v="2"/>
  </r>
  <r>
    <s v="ORD-001033"/>
    <x v="8"/>
    <s v="PA-009"/>
    <n v="55000"/>
    <x v="2"/>
  </r>
  <r>
    <s v="ORD-001034"/>
    <x v="10"/>
    <s v="PA-011"/>
    <n v="0"/>
    <x v="2"/>
  </r>
  <r>
    <s v="ORD-001035"/>
    <x v="10"/>
    <s v="PA-011"/>
    <n v="0"/>
    <x v="2"/>
  </r>
  <r>
    <s v="ORD-001036"/>
    <x v="10"/>
    <s v="PA-011"/>
    <n v="0"/>
    <x v="2"/>
  </r>
  <r>
    <s v="ORD-001037"/>
    <x v="76"/>
    <s v="PA-086"/>
    <n v="33200"/>
    <x v="2"/>
  </r>
  <r>
    <s v="ORD-001038"/>
    <x v="4"/>
    <s v="PA-005"/>
    <n v="65200"/>
    <x v="2"/>
  </r>
  <r>
    <s v="ORD-001039"/>
    <x v="4"/>
    <s v="PA-005"/>
    <n v="62900"/>
    <x v="2"/>
  </r>
  <r>
    <s v="ORD-001040"/>
    <x v="42"/>
    <s v="PA-046"/>
    <n v="219800"/>
    <x v="2"/>
  </r>
  <r>
    <s v="ORD-001041"/>
    <x v="4"/>
    <s v="PA-005"/>
    <n v="54900"/>
    <x v="2"/>
  </r>
  <r>
    <s v="ORD-001042"/>
    <x v="9"/>
    <s v="PA-010"/>
    <n v="145100"/>
    <x v="2"/>
  </r>
  <r>
    <s v="ORD-001043"/>
    <x v="9"/>
    <s v="PA-010"/>
    <n v="98200"/>
    <x v="2"/>
  </r>
  <r>
    <s v="ORD-001044"/>
    <x v="6"/>
    <s v="PA-007"/>
    <n v="47400"/>
    <x v="2"/>
  </r>
  <r>
    <s v="ORD-001045"/>
    <x v="5"/>
    <s v="PA-006"/>
    <n v="68500"/>
    <x v="2"/>
  </r>
  <r>
    <s v="ORD-001046"/>
    <x v="5"/>
    <s v="PA-006"/>
    <n v="55400"/>
    <x v="2"/>
  </r>
  <r>
    <s v="ORD-001047"/>
    <x v="7"/>
    <s v="PA-008"/>
    <n v="131700"/>
    <x v="2"/>
  </r>
  <r>
    <s v="ORD-001048"/>
    <x v="8"/>
    <s v="PA-009"/>
    <n v="26000"/>
    <x v="2"/>
  </r>
  <r>
    <s v="ORD-001049"/>
    <x v="80"/>
    <s v="PA-090"/>
    <n v="201300"/>
    <x v="2"/>
  </r>
  <r>
    <s v="ORD-001050"/>
    <x v="22"/>
    <s v="PA-023"/>
    <n v="191400"/>
    <x v="2"/>
  </r>
  <r>
    <s v="ORD-001051"/>
    <x v="9"/>
    <s v="PA-010"/>
    <n v="87000"/>
    <x v="2"/>
  </r>
  <r>
    <s v="ORD-001052"/>
    <x v="9"/>
    <s v="PA-010"/>
    <n v="104600"/>
    <x v="2"/>
  </r>
  <r>
    <s v="ORD-001053"/>
    <x v="4"/>
    <s v="PA-005"/>
    <n v="59200"/>
    <x v="2"/>
  </r>
  <r>
    <s v="ORD-001054"/>
    <x v="8"/>
    <s v="PA-009"/>
    <n v="139700"/>
    <x v="2"/>
  </r>
  <r>
    <s v="ORD-001055"/>
    <x v="6"/>
    <s v="PA-007"/>
    <n v="48200"/>
    <x v="2"/>
  </r>
  <r>
    <s v="ORD-001056"/>
    <x v="49"/>
    <s v="PA-054"/>
    <n v="57200"/>
    <x v="2"/>
  </r>
  <r>
    <s v="ORD-001057"/>
    <x v="66"/>
    <s v="PA-073"/>
    <n v="54400"/>
    <x v="2"/>
  </r>
  <r>
    <s v="ORD-001058"/>
    <x v="9"/>
    <s v="PA-010"/>
    <n v="228800"/>
    <x v="2"/>
  </r>
  <r>
    <s v="ORD-001059"/>
    <x v="8"/>
    <s v="PA-009"/>
    <n v="11300"/>
    <x v="2"/>
  </r>
  <r>
    <s v="ORD-001060"/>
    <x v="8"/>
    <s v="PA-009"/>
    <n v="122100"/>
    <x v="2"/>
  </r>
  <r>
    <s v="ORD-001061"/>
    <x v="8"/>
    <s v="PA-009"/>
    <n v="151900"/>
    <x v="2"/>
  </r>
  <r>
    <s v="ORD-001062"/>
    <x v="84"/>
    <s v="PA-094"/>
    <n v="113800"/>
    <x v="2"/>
  </r>
  <r>
    <s v="ORD-001063"/>
    <x v="8"/>
    <s v="PA-009"/>
    <n v="57400"/>
    <x v="2"/>
  </r>
  <r>
    <s v="ORD-001064"/>
    <x v="0"/>
    <s v="PA-001"/>
    <n v="56300"/>
    <x v="2"/>
  </r>
  <r>
    <s v="ORD-001065"/>
    <x v="0"/>
    <s v="PA-001"/>
    <n v="186500"/>
    <x v="2"/>
  </r>
  <r>
    <s v="ORD-001066"/>
    <x v="0"/>
    <s v="PA-001"/>
    <n v="241200"/>
    <x v="2"/>
  </r>
  <r>
    <s v="ORD-001067"/>
    <x v="0"/>
    <s v="PA-001"/>
    <n v="42900"/>
    <x v="2"/>
  </r>
  <r>
    <s v="ORD-001068"/>
    <x v="9"/>
    <s v="PA-010"/>
    <n v="57200"/>
    <x v="2"/>
  </r>
  <r>
    <s v="ORD-001069"/>
    <x v="9"/>
    <s v="PA-010"/>
    <n v="74300"/>
    <x v="2"/>
  </r>
  <r>
    <s v="ORD-001070"/>
    <x v="16"/>
    <s v="PA-017"/>
    <n v="77000"/>
    <x v="2"/>
  </r>
  <r>
    <s v="ORD-001071"/>
    <x v="4"/>
    <s v="PA-005"/>
    <n v="69900"/>
    <x v="2"/>
  </r>
  <r>
    <s v="ORD-001072"/>
    <x v="8"/>
    <s v="PA-009"/>
    <n v="68500"/>
    <x v="2"/>
  </r>
  <r>
    <s v="ORD-001073"/>
    <x v="4"/>
    <s v="PA-005"/>
    <n v="196400"/>
    <x v="2"/>
  </r>
  <r>
    <s v="ORD-001074"/>
    <x v="4"/>
    <s v="PA-005"/>
    <n v="183000"/>
    <x v="2"/>
  </r>
  <r>
    <s v="ORD-001075"/>
    <x v="88"/>
    <s v="PA-102"/>
    <n v="181400"/>
    <x v="2"/>
  </r>
  <r>
    <s v="ORD-001076"/>
    <x v="8"/>
    <s v="PA-009"/>
    <n v="174600"/>
    <x v="2"/>
  </r>
  <r>
    <s v="ORD-001077"/>
    <x v="24"/>
    <s v="PA-025"/>
    <n v="35700"/>
    <x v="2"/>
  </r>
  <r>
    <s v="ORD-001078"/>
    <x v="42"/>
    <s v="PA-046"/>
    <n v="259000"/>
    <x v="2"/>
  </r>
  <r>
    <s v="ORD-001079"/>
    <x v="4"/>
    <s v="PA-005"/>
    <n v="62300"/>
    <x v="2"/>
  </r>
  <r>
    <s v="ORD-001080"/>
    <x v="19"/>
    <s v="PA-020"/>
    <n v="110500"/>
    <x v="2"/>
  </r>
  <r>
    <s v="ORD-001081"/>
    <x v="5"/>
    <s v="PA-006"/>
    <n v="55800"/>
    <x v="2"/>
  </r>
  <r>
    <s v="ORD-001082"/>
    <x v="8"/>
    <s v="PA-009"/>
    <n v="112900"/>
    <x v="2"/>
  </r>
  <r>
    <s v="ORD-001083"/>
    <x v="9"/>
    <s v="PA-010"/>
    <n v="33100"/>
    <x v="2"/>
  </r>
  <r>
    <s v="ORD-001084"/>
    <x v="29"/>
    <s v="PA-033"/>
    <n v="0"/>
    <x v="2"/>
  </r>
  <r>
    <s v="ORD-001085"/>
    <x v="89"/>
    <s v="PA-103"/>
    <n v="55900"/>
    <x v="2"/>
  </r>
  <r>
    <s v="ORD-001086"/>
    <x v="31"/>
    <s v="PA-035"/>
    <n v="89700"/>
    <x v="2"/>
  </r>
  <r>
    <s v="ORD-001087"/>
    <x v="31"/>
    <s v="PA-035"/>
    <n v="107600"/>
    <x v="2"/>
  </r>
  <r>
    <s v="ORD-001088"/>
    <x v="34"/>
    <s v="PA-038"/>
    <n v="258100"/>
    <x v="2"/>
  </r>
  <r>
    <s v="ORD-001089"/>
    <x v="49"/>
    <s v="PA-054"/>
    <n v="69900"/>
    <x v="2"/>
  </r>
  <r>
    <s v="ORD-001090"/>
    <x v="85"/>
    <s v="PA-096"/>
    <n v="255500"/>
    <x v="2"/>
  </r>
  <r>
    <s v="ORD-001091"/>
    <x v="24"/>
    <s v="PA-025"/>
    <n v="58200"/>
    <x v="2"/>
  </r>
  <r>
    <s v="ORD-001092"/>
    <x v="73"/>
    <s v="PA-083"/>
    <n v="111200"/>
    <x v="2"/>
  </r>
  <r>
    <s v="ORD-001093"/>
    <x v="6"/>
    <s v="PA-007"/>
    <n v="49200"/>
    <x v="2"/>
  </r>
  <r>
    <s v="ORD-001094"/>
    <x v="19"/>
    <s v="PA-020"/>
    <n v="82100"/>
    <x v="2"/>
  </r>
  <r>
    <s v="ORD-001095"/>
    <x v="2"/>
    <s v="PA-003"/>
    <n v="60400"/>
    <x v="2"/>
  </r>
  <r>
    <s v="ORD-001096"/>
    <x v="2"/>
    <s v="PA-003"/>
    <n v="53700"/>
    <x v="2"/>
  </r>
  <r>
    <s v="ORD-001097"/>
    <x v="8"/>
    <s v="PA-009"/>
    <n v="25800"/>
    <x v="2"/>
  </r>
  <r>
    <s v="ORD-001098"/>
    <x v="2"/>
    <s v="PA-003"/>
    <n v="48300"/>
    <x v="2"/>
  </r>
  <r>
    <s v="ORD-001099"/>
    <x v="8"/>
    <s v="PA-009"/>
    <n v="127700"/>
    <x v="2"/>
  </r>
  <r>
    <s v="ORD-001100"/>
    <x v="60"/>
    <s v="PA-065"/>
    <n v="0"/>
    <x v="2"/>
  </r>
  <r>
    <s v="ORD-001101"/>
    <x v="8"/>
    <s v="PA-009"/>
    <n v="52500"/>
    <x v="2"/>
  </r>
  <r>
    <s v="ORD-001102"/>
    <x v="8"/>
    <s v="PA-009"/>
    <n v="53700"/>
    <x v="2"/>
  </r>
  <r>
    <s v="ORD-001103"/>
    <x v="28"/>
    <s v="PA-032"/>
    <n v="0"/>
    <x v="2"/>
  </r>
  <r>
    <s v="ORD-001104"/>
    <x v="10"/>
    <s v="PA-011"/>
    <n v="153900"/>
    <x v="2"/>
  </r>
  <r>
    <s v="ORD-001105"/>
    <x v="10"/>
    <s v="PA-011"/>
    <n v="152900"/>
    <x v="2"/>
  </r>
  <r>
    <s v="ORD-001106"/>
    <x v="10"/>
    <s v="PA-011"/>
    <n v="192400"/>
    <x v="2"/>
  </r>
  <r>
    <s v="ORD-001107"/>
    <x v="10"/>
    <s v="PA-011"/>
    <n v="144700"/>
    <x v="2"/>
  </r>
  <r>
    <s v="ORD-001108"/>
    <x v="10"/>
    <s v="PA-011"/>
    <n v="216600"/>
    <x v="2"/>
  </r>
  <r>
    <s v="ORD-001109"/>
    <x v="4"/>
    <s v="PA-005"/>
    <n v="45000"/>
    <x v="2"/>
  </r>
  <r>
    <s v="ORD-001110"/>
    <x v="4"/>
    <s v="PA-005"/>
    <n v="46300"/>
    <x v="2"/>
  </r>
  <r>
    <s v="ORD-001111"/>
    <x v="19"/>
    <s v="PA-020"/>
    <n v="203100"/>
    <x v="2"/>
  </r>
  <r>
    <s v="ORD-001112"/>
    <x v="24"/>
    <s v="PA-025"/>
    <n v="96500"/>
    <x v="2"/>
  </r>
  <r>
    <s v="ORD-001113"/>
    <x v="42"/>
    <s v="PA-046"/>
    <n v="185300"/>
    <x v="2"/>
  </r>
  <r>
    <s v="ORD-001114"/>
    <x v="2"/>
    <s v="PA-003"/>
    <n v="38000"/>
    <x v="2"/>
  </r>
  <r>
    <s v="ORD-001115"/>
    <x v="8"/>
    <s v="PA-009"/>
    <n v="139800"/>
    <x v="2"/>
  </r>
  <r>
    <s v="ORD-001116"/>
    <x v="53"/>
    <s v="PA-058"/>
    <n v="65500"/>
    <x v="2"/>
  </r>
  <r>
    <s v="ORD-001117"/>
    <x v="11"/>
    <s v="PA-012"/>
    <n v="52300"/>
    <x v="2"/>
  </r>
  <r>
    <s v="ORD-001118"/>
    <x v="11"/>
    <s v="PA-012"/>
    <n v="49800"/>
    <x v="2"/>
  </r>
  <r>
    <s v="ORD-001119"/>
    <x v="62"/>
    <s v="PA-067"/>
    <n v="2100"/>
    <x v="2"/>
  </r>
  <r>
    <s v="ORD-001120"/>
    <x v="8"/>
    <s v="PA-009"/>
    <n v="11100"/>
    <x v="2"/>
  </r>
  <r>
    <s v="ORD-001121"/>
    <x v="21"/>
    <s v="PA-022"/>
    <n v="6700"/>
    <x v="2"/>
  </r>
  <r>
    <s v="ORD-001122"/>
    <x v="8"/>
    <s v="PA-009"/>
    <n v="34400"/>
    <x v="2"/>
  </r>
  <r>
    <s v="ORD-001123"/>
    <x v="60"/>
    <s v="PA-065"/>
    <n v="54900"/>
    <x v="2"/>
  </r>
  <r>
    <s v="ORD-001124"/>
    <x v="4"/>
    <s v="PA-005"/>
    <n v="165800"/>
    <x v="2"/>
  </r>
  <r>
    <s v="ORD-001125"/>
    <x v="24"/>
    <s v="PA-025"/>
    <n v="213300"/>
    <x v="2"/>
  </r>
  <r>
    <s v="ORD-001126"/>
    <x v="24"/>
    <s v="PA-025"/>
    <n v="96000"/>
    <x v="2"/>
  </r>
  <r>
    <s v="ORD-001127"/>
    <x v="9"/>
    <s v="PA-010"/>
    <n v="55300"/>
    <x v="2"/>
  </r>
  <r>
    <s v="ORD-001128"/>
    <x v="9"/>
    <s v="PA-010"/>
    <n v="42000"/>
    <x v="2"/>
  </r>
  <r>
    <s v="ORD-001129"/>
    <x v="9"/>
    <s v="PA-010"/>
    <n v="59100"/>
    <x v="2"/>
  </r>
  <r>
    <s v="ORD-001130"/>
    <x v="6"/>
    <s v="PA-007"/>
    <n v="51200"/>
    <x v="2"/>
  </r>
  <r>
    <s v="ORD-001131"/>
    <x v="22"/>
    <s v="PA-023"/>
    <n v="188000"/>
    <x v="2"/>
  </r>
  <r>
    <s v="ORD-001132"/>
    <x v="22"/>
    <s v="PA-023"/>
    <n v="48400"/>
    <x v="2"/>
  </r>
  <r>
    <s v="ORD-001133"/>
    <x v="5"/>
    <s v="PA-006"/>
    <n v="51400"/>
    <x v="2"/>
  </r>
  <r>
    <s v="ORD-001134"/>
    <x v="9"/>
    <s v="PA-010"/>
    <n v="147900"/>
    <x v="2"/>
  </r>
  <r>
    <s v="ORD-001135"/>
    <x v="34"/>
    <s v="PA-038"/>
    <n v="0"/>
    <x v="2"/>
  </r>
  <r>
    <s v="ORD-001136"/>
    <x v="4"/>
    <s v="PA-005"/>
    <n v="30300"/>
    <x v="2"/>
  </r>
  <r>
    <s v="ORD-001137"/>
    <x v="6"/>
    <s v="PA-007"/>
    <n v="64600"/>
    <x v="2"/>
  </r>
  <r>
    <s v="ORD-001138"/>
    <x v="13"/>
    <s v="PA-014"/>
    <n v="62500"/>
    <x v="2"/>
  </r>
  <r>
    <s v="ORD-001139"/>
    <x v="70"/>
    <s v="PA-077"/>
    <n v="105900"/>
    <x v="2"/>
  </r>
  <r>
    <s v="ORD-001140"/>
    <x v="70"/>
    <s v="PA-077"/>
    <n v="84100"/>
    <x v="2"/>
  </r>
  <r>
    <s v="ORD-001141"/>
    <x v="70"/>
    <s v="PA-077"/>
    <n v="101100"/>
    <x v="2"/>
  </r>
  <r>
    <s v="ORD-001142"/>
    <x v="4"/>
    <s v="PA-005"/>
    <n v="58300"/>
    <x v="2"/>
  </r>
  <r>
    <s v="ORD-001143"/>
    <x v="4"/>
    <s v="PA-005"/>
    <n v="68200"/>
    <x v="2"/>
  </r>
  <r>
    <s v="ORD-001144"/>
    <x v="9"/>
    <s v="PA-010"/>
    <n v="56800"/>
    <x v="2"/>
  </r>
  <r>
    <s v="ORD-001145"/>
    <x v="6"/>
    <s v="PA-007"/>
    <n v="53000"/>
    <x v="2"/>
  </r>
  <r>
    <s v="ORD-001146"/>
    <x v="6"/>
    <s v="PA-007"/>
    <n v="200000"/>
    <x v="2"/>
  </r>
  <r>
    <s v="ORD-001147"/>
    <x v="4"/>
    <s v="PA-005"/>
    <n v="103800"/>
    <x v="2"/>
  </r>
  <r>
    <s v="ORD-001148"/>
    <x v="19"/>
    <s v="PA-020"/>
    <n v="160000"/>
    <x v="2"/>
  </r>
  <r>
    <s v="ORD-001149"/>
    <x v="19"/>
    <s v="PA-020"/>
    <n v="167700"/>
    <x v="2"/>
  </r>
  <r>
    <s v="ORD-001150"/>
    <x v="9"/>
    <s v="PA-010"/>
    <n v="60500"/>
    <x v="2"/>
  </r>
  <r>
    <s v="ORD-001151"/>
    <x v="9"/>
    <s v="PA-010"/>
    <n v="50400"/>
    <x v="2"/>
  </r>
  <r>
    <s v="ORD-001152"/>
    <x v="17"/>
    <s v="PA-018"/>
    <n v="51200"/>
    <x v="2"/>
  </r>
  <r>
    <s v="ORD-001153"/>
    <x v="17"/>
    <s v="PA-018"/>
    <n v="56900"/>
    <x v="2"/>
  </r>
  <r>
    <s v="ORD-001154"/>
    <x v="8"/>
    <s v="PA-009"/>
    <n v="122200"/>
    <x v="2"/>
  </r>
  <r>
    <s v="ORD-001155"/>
    <x v="24"/>
    <s v="PA-025"/>
    <n v="44200"/>
    <x v="2"/>
  </r>
  <r>
    <s v="ORD-001156"/>
    <x v="24"/>
    <s v="PA-025"/>
    <n v="56900"/>
    <x v="2"/>
  </r>
  <r>
    <s v="ORD-001157"/>
    <x v="8"/>
    <s v="PA-009"/>
    <n v="169500"/>
    <x v="2"/>
  </r>
  <r>
    <s v="ORD-001158"/>
    <x v="8"/>
    <s v="PA-009"/>
    <n v="51900"/>
    <x v="2"/>
  </r>
  <r>
    <s v="ORD-001159"/>
    <x v="8"/>
    <s v="PA-009"/>
    <n v="58300"/>
    <x v="2"/>
  </r>
  <r>
    <s v="ORD-001160"/>
    <x v="9"/>
    <s v="PA-010"/>
    <n v="55200"/>
    <x v="2"/>
  </r>
  <r>
    <s v="ORD-001161"/>
    <x v="4"/>
    <s v="PA-005"/>
    <n v="245000"/>
    <x v="2"/>
  </r>
  <r>
    <s v="ORD-001162"/>
    <x v="4"/>
    <s v="PA-005"/>
    <n v="165600"/>
    <x v="2"/>
  </r>
  <r>
    <s v="ORD-001163"/>
    <x v="4"/>
    <s v="PA-005"/>
    <n v="72300"/>
    <x v="2"/>
  </r>
  <r>
    <s v="ORD-001164"/>
    <x v="7"/>
    <s v="PA-008"/>
    <n v="200500"/>
    <x v="2"/>
  </r>
  <r>
    <s v="ORD-001165"/>
    <x v="79"/>
    <s v="PA-089"/>
    <n v="83500"/>
    <x v="2"/>
  </r>
  <r>
    <s v="ORD-001166"/>
    <x v="9"/>
    <s v="PA-010"/>
    <n v="70700"/>
    <x v="2"/>
  </r>
  <r>
    <s v="ORD-001167"/>
    <x v="24"/>
    <s v="PA-025"/>
    <n v="63500"/>
    <x v="2"/>
  </r>
  <r>
    <s v="ORD-001168"/>
    <x v="24"/>
    <s v="PA-025"/>
    <n v="69400"/>
    <x v="2"/>
  </r>
  <r>
    <s v="ORD-001169"/>
    <x v="5"/>
    <s v="PA-006"/>
    <n v="59300"/>
    <x v="2"/>
  </r>
  <r>
    <s v="ORD-001170"/>
    <x v="5"/>
    <s v="PA-006"/>
    <n v="39600"/>
    <x v="2"/>
  </r>
  <r>
    <s v="ORD-001171"/>
    <x v="5"/>
    <s v="PA-006"/>
    <n v="40200"/>
    <x v="2"/>
  </r>
  <r>
    <s v="ORD-001172"/>
    <x v="90"/>
    <s v="PA-104"/>
    <n v="217300"/>
    <x v="2"/>
  </r>
  <r>
    <s v="ORD-001173"/>
    <x v="9"/>
    <s v="PA-010"/>
    <n v="66000"/>
    <x v="2"/>
  </r>
  <r>
    <s v="ORD-001174"/>
    <x v="6"/>
    <s v="PA-007"/>
    <n v="44000"/>
    <x v="2"/>
  </r>
  <r>
    <s v="ORD-001175"/>
    <x v="6"/>
    <s v="PA-007"/>
    <n v="50500"/>
    <x v="2"/>
  </r>
  <r>
    <s v="ORD-001176"/>
    <x v="6"/>
    <s v="PA-007"/>
    <n v="43400"/>
    <x v="2"/>
  </r>
  <r>
    <s v="ORD-001177"/>
    <x v="6"/>
    <s v="PA-007"/>
    <n v="35600"/>
    <x v="2"/>
  </r>
  <r>
    <s v="ORD-001178"/>
    <x v="13"/>
    <s v="PA-014"/>
    <n v="115300"/>
    <x v="2"/>
  </r>
  <r>
    <s v="ORD-001179"/>
    <x v="13"/>
    <s v="PA-014"/>
    <n v="235700"/>
    <x v="2"/>
  </r>
  <r>
    <s v="ORD-001180"/>
    <x v="12"/>
    <s v="PA-013"/>
    <n v="70100"/>
    <x v="2"/>
  </r>
  <r>
    <s v="ORD-001181"/>
    <x v="35"/>
    <s v="PA-039"/>
    <n v="59700"/>
    <x v="2"/>
  </r>
  <r>
    <s v="ORD-001182"/>
    <x v="7"/>
    <s v="PA-008"/>
    <n v="88900"/>
    <x v="2"/>
  </r>
  <r>
    <s v="ORD-001183"/>
    <x v="8"/>
    <s v="PA-009"/>
    <n v="92500"/>
    <x v="2"/>
  </r>
  <r>
    <s v="ORD-001184"/>
    <x v="17"/>
    <s v="PA-018"/>
    <n v="217600"/>
    <x v="2"/>
  </r>
  <r>
    <s v="ORD-001185"/>
    <x v="17"/>
    <s v="PA-018"/>
    <n v="186200"/>
    <x v="2"/>
  </r>
  <r>
    <s v="ORD-001186"/>
    <x v="60"/>
    <s v="PA-065"/>
    <n v="9900"/>
    <x v="2"/>
  </r>
  <r>
    <s v="ORD-001187"/>
    <x v="9"/>
    <s v="PA-010"/>
    <n v="13300"/>
    <x v="2"/>
  </r>
  <r>
    <s v="ORD-001188"/>
    <x v="65"/>
    <s v="PA-072"/>
    <n v="9900"/>
    <x v="2"/>
  </r>
  <r>
    <s v="ORD-001189"/>
    <x v="19"/>
    <s v="PA-020"/>
    <n v="6000"/>
    <x v="2"/>
  </r>
  <r>
    <s v="ORD-001190"/>
    <x v="17"/>
    <s v="PA-018"/>
    <n v="6900"/>
    <x v="2"/>
  </r>
  <r>
    <s v="ORD-001191"/>
    <x v="6"/>
    <s v="PA-007"/>
    <n v="4900"/>
    <x v="2"/>
  </r>
  <r>
    <s v="ORD-001192"/>
    <x v="69"/>
    <s v="PA-076"/>
    <n v="5400"/>
    <x v="2"/>
  </r>
  <r>
    <s v="ORD-001193"/>
    <x v="21"/>
    <s v="PA-022"/>
    <n v="5800"/>
    <x v="2"/>
  </r>
  <r>
    <s v="ORD-001194"/>
    <x v="21"/>
    <s v="PA-022"/>
    <n v="1400"/>
    <x v="2"/>
  </r>
  <r>
    <s v="ORD-001195"/>
    <x v="8"/>
    <s v="PA-009"/>
    <n v="54800"/>
    <x v="2"/>
  </r>
  <r>
    <s v="ORD-001196"/>
    <x v="4"/>
    <s v="PA-005"/>
    <n v="58500"/>
    <x v="2"/>
  </r>
  <r>
    <s v="ORD-001197"/>
    <x v="4"/>
    <s v="PA-005"/>
    <n v="50800"/>
    <x v="2"/>
  </r>
  <r>
    <s v="ORD-001198"/>
    <x v="4"/>
    <s v="PA-005"/>
    <n v="58500"/>
    <x v="2"/>
  </r>
  <r>
    <s v="ORD-001199"/>
    <x v="27"/>
    <s v="PA-031"/>
    <n v="127600"/>
    <x v="2"/>
  </r>
  <r>
    <s v="ORD-001200"/>
    <x v="71"/>
    <s v="PA-079"/>
    <n v="41800"/>
    <x v="2"/>
  </r>
  <r>
    <s v="ORD-001201"/>
    <x v="17"/>
    <s v="PA-018"/>
    <n v="48000"/>
    <x v="2"/>
  </r>
  <r>
    <s v="ORD-001202"/>
    <x v="8"/>
    <s v="PA-009"/>
    <n v="103800"/>
    <x v="2"/>
  </r>
  <r>
    <s v="ORD-001203"/>
    <x v="8"/>
    <s v="PA-009"/>
    <n v="80600"/>
    <x v="2"/>
  </r>
  <r>
    <s v="ORD-001204"/>
    <x v="8"/>
    <s v="PA-009"/>
    <n v="72700"/>
    <x v="2"/>
  </r>
  <r>
    <s v="ORD-001205"/>
    <x v="8"/>
    <s v="PA-009"/>
    <n v="101300"/>
    <x v="2"/>
  </r>
  <r>
    <s v="ORD-001206"/>
    <x v="13"/>
    <s v="PA-014"/>
    <n v="91300"/>
    <x v="2"/>
  </r>
  <r>
    <s v="ORD-001207"/>
    <x v="60"/>
    <s v="PA-065"/>
    <n v="56600"/>
    <x v="2"/>
  </r>
  <r>
    <s v="ORD-001208"/>
    <x v="8"/>
    <s v="PA-009"/>
    <n v="54600"/>
    <x v="2"/>
  </r>
  <r>
    <s v="ORD-001209"/>
    <x v="8"/>
    <s v="PA-009"/>
    <n v="67300"/>
    <x v="2"/>
  </r>
  <r>
    <s v="ORD-001210"/>
    <x v="40"/>
    <s v="PA-044"/>
    <n v="51400"/>
    <x v="2"/>
  </r>
  <r>
    <s v="ORD-001211"/>
    <x v="13"/>
    <s v="PA-014"/>
    <n v="59200"/>
    <x v="2"/>
  </r>
  <r>
    <s v="ORD-001212"/>
    <x v="5"/>
    <s v="PA-006"/>
    <n v="57600"/>
    <x v="2"/>
  </r>
  <r>
    <s v="ORD-001213"/>
    <x v="5"/>
    <s v="PA-006"/>
    <n v="37300"/>
    <x v="2"/>
  </r>
  <r>
    <s v="ORD-001214"/>
    <x v="24"/>
    <s v="PA-025"/>
    <n v="36900"/>
    <x v="2"/>
  </r>
  <r>
    <s v="ORD-001215"/>
    <x v="24"/>
    <s v="PA-025"/>
    <n v="38000"/>
    <x v="2"/>
  </r>
  <r>
    <s v="ORD-001216"/>
    <x v="20"/>
    <s v="PA-021"/>
    <n v="174300"/>
    <x v="2"/>
  </r>
  <r>
    <s v="ORD-001217"/>
    <x v="20"/>
    <s v="PA-021"/>
    <n v="162000"/>
    <x v="2"/>
  </r>
  <r>
    <s v="ORD-001218"/>
    <x v="8"/>
    <s v="PA-009"/>
    <n v="62400"/>
    <x v="2"/>
  </r>
  <r>
    <s v="ORD-001219"/>
    <x v="8"/>
    <s v="PA-009"/>
    <n v="53500"/>
    <x v="2"/>
  </r>
  <r>
    <s v="ORD-001220"/>
    <x v="4"/>
    <s v="PA-005"/>
    <n v="25500"/>
    <x v="2"/>
  </r>
  <r>
    <s v="ORD-001221"/>
    <x v="4"/>
    <s v="PA-005"/>
    <n v="140800"/>
    <x v="2"/>
  </r>
  <r>
    <s v="ORD-001222"/>
    <x v="6"/>
    <s v="PA-007"/>
    <n v="52100"/>
    <x v="2"/>
  </r>
  <r>
    <s v="ORD-001223"/>
    <x v="6"/>
    <s v="PA-007"/>
    <n v="62600"/>
    <x v="2"/>
  </r>
  <r>
    <s v="ORD-001224"/>
    <x v="6"/>
    <s v="PA-007"/>
    <n v="65600"/>
    <x v="2"/>
  </r>
  <r>
    <s v="ORD-001225"/>
    <x v="7"/>
    <s v="PA-008"/>
    <n v="277400"/>
    <x v="2"/>
  </r>
  <r>
    <s v="ORD-001226"/>
    <x v="9"/>
    <s v="PA-010"/>
    <n v="60900"/>
    <x v="2"/>
  </r>
  <r>
    <s v="ORD-001227"/>
    <x v="8"/>
    <s v="PA-009"/>
    <n v="37100"/>
    <x v="2"/>
  </r>
  <r>
    <s v="ORD-001228"/>
    <x v="82"/>
    <s v="PA-092"/>
    <n v="38600"/>
    <x v="2"/>
  </r>
  <r>
    <s v="ORD-001229"/>
    <x v="4"/>
    <s v="PA-005"/>
    <n v="39400"/>
    <x v="2"/>
  </r>
  <r>
    <s v="ORD-001230"/>
    <x v="4"/>
    <s v="PA-005"/>
    <n v="49700"/>
    <x v="2"/>
  </r>
  <r>
    <s v="ORD-001231"/>
    <x v="4"/>
    <s v="PA-005"/>
    <n v="49900"/>
    <x v="2"/>
  </r>
  <r>
    <s v="ORD-001232"/>
    <x v="56"/>
    <s v="PA-061"/>
    <n v="161400"/>
    <x v="2"/>
  </r>
  <r>
    <s v="ORD-001233"/>
    <x v="6"/>
    <s v="PA-007"/>
    <n v="56400"/>
    <x v="2"/>
  </r>
  <r>
    <s v="ORD-001234"/>
    <x v="23"/>
    <s v="PA-024"/>
    <n v="53400"/>
    <x v="2"/>
  </r>
  <r>
    <s v="ORD-001235"/>
    <x v="6"/>
    <s v="PA-007"/>
    <n v="210700"/>
    <x v="2"/>
  </r>
  <r>
    <s v="ORD-001236"/>
    <x v="6"/>
    <s v="PA-007"/>
    <n v="64100"/>
    <x v="2"/>
  </r>
  <r>
    <s v="ORD-001237"/>
    <x v="6"/>
    <s v="PA-007"/>
    <n v="64200"/>
    <x v="2"/>
  </r>
  <r>
    <s v="ORD-001238"/>
    <x v="6"/>
    <s v="PA-007"/>
    <n v="44300"/>
    <x v="2"/>
  </r>
  <r>
    <s v="ORD-001239"/>
    <x v="24"/>
    <s v="PA-025"/>
    <n v="55900"/>
    <x v="2"/>
  </r>
  <r>
    <s v="ORD-001240"/>
    <x v="53"/>
    <s v="PA-058"/>
    <n v="51900"/>
    <x v="2"/>
  </r>
  <r>
    <s v="ORD-001241"/>
    <x v="53"/>
    <s v="PA-058"/>
    <n v="62500"/>
    <x v="2"/>
  </r>
  <r>
    <s v="ORD-001242"/>
    <x v="53"/>
    <s v="PA-058"/>
    <n v="68900"/>
    <x v="2"/>
  </r>
  <r>
    <s v="ORD-001243"/>
    <x v="28"/>
    <s v="PA-032"/>
    <n v="52900"/>
    <x v="2"/>
  </r>
  <r>
    <s v="ORD-001244"/>
    <x v="23"/>
    <s v="PA-024"/>
    <n v="60400"/>
    <x v="2"/>
  </r>
  <r>
    <s v="ORD-001245"/>
    <x v="8"/>
    <s v="PA-009"/>
    <n v="193400"/>
    <x v="2"/>
  </r>
  <r>
    <s v="ORD-001246"/>
    <x v="34"/>
    <s v="PA-038"/>
    <n v="129300"/>
    <x v="2"/>
  </r>
  <r>
    <s v="ORD-001247"/>
    <x v="49"/>
    <s v="PA-054"/>
    <n v="47900"/>
    <x v="2"/>
  </r>
  <r>
    <s v="ORD-001248"/>
    <x v="24"/>
    <s v="PA-025"/>
    <n v="48100"/>
    <x v="2"/>
  </r>
  <r>
    <s v="ORD-001249"/>
    <x v="9"/>
    <s v="PA-010"/>
    <n v="25700"/>
    <x v="2"/>
  </r>
  <r>
    <s v="ORD-001250"/>
    <x v="9"/>
    <s v="PA-010"/>
    <n v="57200"/>
    <x v="2"/>
  </r>
  <r>
    <s v="ORD-001251"/>
    <x v="9"/>
    <s v="PA-010"/>
    <n v="75900"/>
    <x v="2"/>
  </r>
  <r>
    <s v="ORD-001252"/>
    <x v="6"/>
    <s v="PA-007"/>
    <n v="41600"/>
    <x v="2"/>
  </r>
  <r>
    <s v="ORD-001253"/>
    <x v="6"/>
    <s v="PA-007"/>
    <n v="45100"/>
    <x v="2"/>
  </r>
  <r>
    <s v="ORD-001254"/>
    <x v="17"/>
    <s v="PA-018"/>
    <n v="122100"/>
    <x v="2"/>
  </r>
  <r>
    <s v="ORD-001255"/>
    <x v="8"/>
    <s v="PA-009"/>
    <n v="61100"/>
    <x v="2"/>
  </r>
  <r>
    <s v="ORD-001256"/>
    <x v="8"/>
    <s v="PA-009"/>
    <n v="34500"/>
    <x v="2"/>
  </r>
  <r>
    <s v="ORD-001257"/>
    <x v="6"/>
    <s v="PA-007"/>
    <n v="247400"/>
    <x v="2"/>
  </r>
  <r>
    <s v="ORD-001258"/>
    <x v="4"/>
    <s v="PA-005"/>
    <n v="56100"/>
    <x v="2"/>
  </r>
  <r>
    <s v="ORD-001259"/>
    <x v="4"/>
    <s v="PA-005"/>
    <n v="64400"/>
    <x v="2"/>
  </r>
  <r>
    <s v="ORD-001260"/>
    <x v="4"/>
    <s v="PA-005"/>
    <n v="75500"/>
    <x v="2"/>
  </r>
  <r>
    <s v="ORD-001261"/>
    <x v="4"/>
    <s v="PA-005"/>
    <n v="148400"/>
    <x v="2"/>
  </r>
  <r>
    <s v="ORD-001262"/>
    <x v="4"/>
    <s v="PA-005"/>
    <n v="184400"/>
    <x v="2"/>
  </r>
  <r>
    <s v="ORD-001263"/>
    <x v="13"/>
    <s v="PA-014"/>
    <n v="42400"/>
    <x v="2"/>
  </r>
  <r>
    <s v="ORD-001264"/>
    <x v="34"/>
    <s v="PA-038"/>
    <n v="86300"/>
    <x v="2"/>
  </r>
  <r>
    <s v="ORD-001265"/>
    <x v="87"/>
    <s v="PA-098"/>
    <n v="126800"/>
    <x v="2"/>
  </r>
  <r>
    <s v="ORD-001266"/>
    <x v="91"/>
    <s v="PA-105"/>
    <n v="63600"/>
    <x v="2"/>
  </r>
  <r>
    <s v="ORD-001267"/>
    <x v="8"/>
    <s v="PA-009"/>
    <n v="62600"/>
    <x v="2"/>
  </r>
  <r>
    <s v="ORD-001268"/>
    <x v="8"/>
    <s v="PA-009"/>
    <n v="48600"/>
    <x v="2"/>
  </r>
  <r>
    <s v="ORD-001269"/>
    <x v="8"/>
    <s v="PA-009"/>
    <n v="57900"/>
    <x v="2"/>
  </r>
  <r>
    <s v="ORD-001270"/>
    <x v="17"/>
    <s v="PA-018"/>
    <n v="51500"/>
    <x v="2"/>
  </r>
  <r>
    <s v="ORD-001271"/>
    <x v="4"/>
    <s v="PA-005"/>
    <n v="286400"/>
    <x v="2"/>
  </r>
  <r>
    <s v="ORD-001272"/>
    <x v="38"/>
    <s v="PA-042"/>
    <n v="61400"/>
    <x v="2"/>
  </r>
  <r>
    <s v="ORD-001273"/>
    <x v="6"/>
    <s v="PA-007"/>
    <n v="1800"/>
    <x v="2"/>
  </r>
  <r>
    <s v="ORD-001274"/>
    <x v="6"/>
    <s v="PA-007"/>
    <n v="5700"/>
    <x v="2"/>
  </r>
  <r>
    <s v="ORD-001275"/>
    <x v="6"/>
    <s v="PA-007"/>
    <n v="4300"/>
    <x v="2"/>
  </r>
  <r>
    <s v="ORD-001276"/>
    <x v="16"/>
    <s v="PA-017"/>
    <n v="66900"/>
    <x v="2"/>
  </r>
  <r>
    <s v="ORD-001277"/>
    <x v="16"/>
    <s v="PA-017"/>
    <n v="13300"/>
    <x v="2"/>
  </r>
  <r>
    <s v="ORD-001278"/>
    <x v="24"/>
    <s v="PA-025"/>
    <n v="5000"/>
    <x v="2"/>
  </r>
  <r>
    <s v="ORD-001279"/>
    <x v="6"/>
    <s v="PA-007"/>
    <n v="1800"/>
    <x v="2"/>
  </r>
  <r>
    <s v="ORD-001280"/>
    <x v="0"/>
    <s v="PA-001"/>
    <n v="6200"/>
    <x v="2"/>
  </r>
  <r>
    <s v="ORD-001281"/>
    <x v="5"/>
    <s v="PA-006"/>
    <n v="11100"/>
    <x v="2"/>
  </r>
  <r>
    <s v="ORD-001282"/>
    <x v="6"/>
    <s v="PA-007"/>
    <n v="6700"/>
    <x v="2"/>
  </r>
  <r>
    <s v="ORD-001283"/>
    <x v="17"/>
    <s v="PA-018"/>
    <n v="5600"/>
    <x v="2"/>
  </r>
  <r>
    <s v="ORD-001284"/>
    <x v="8"/>
    <s v="PA-009"/>
    <n v="49100"/>
    <x v="2"/>
  </r>
  <r>
    <s v="ORD-001285"/>
    <x v="4"/>
    <s v="PA-005"/>
    <n v="76100"/>
    <x v="2"/>
  </r>
  <r>
    <s v="ORD-001286"/>
    <x v="24"/>
    <s v="PA-025"/>
    <n v="55000"/>
    <x v="2"/>
  </r>
  <r>
    <s v="ORD-001287"/>
    <x v="24"/>
    <s v="PA-025"/>
    <n v="61900"/>
    <x v="2"/>
  </r>
  <r>
    <s v="ORD-001288"/>
    <x v="53"/>
    <s v="PA-058"/>
    <n v="164500"/>
    <x v="2"/>
  </r>
  <r>
    <s v="ORD-001289"/>
    <x v="22"/>
    <s v="PA-023"/>
    <n v="104200"/>
    <x v="2"/>
  </r>
  <r>
    <s v="ORD-001290"/>
    <x v="22"/>
    <s v="PA-023"/>
    <n v="176400"/>
    <x v="2"/>
  </r>
  <r>
    <s v="ORD-001291"/>
    <x v="82"/>
    <s v="PA-092"/>
    <n v="238500"/>
    <x v="2"/>
  </r>
  <r>
    <s v="ORD-001292"/>
    <x v="24"/>
    <s v="PA-025"/>
    <n v="134000"/>
    <x v="2"/>
  </r>
  <r>
    <s v="ORD-001293"/>
    <x v="24"/>
    <s v="PA-025"/>
    <n v="62800"/>
    <x v="2"/>
  </r>
  <r>
    <s v="ORD-001294"/>
    <x v="24"/>
    <s v="PA-025"/>
    <n v="44300"/>
    <x v="2"/>
  </r>
  <r>
    <s v="ORD-001295"/>
    <x v="24"/>
    <s v="PA-025"/>
    <n v="46600"/>
    <x v="2"/>
  </r>
  <r>
    <s v="ORD-001296"/>
    <x v="5"/>
    <s v="PA-006"/>
    <n v="51300"/>
    <x v="2"/>
  </r>
  <r>
    <s v="ORD-001297"/>
    <x v="8"/>
    <s v="PA-009"/>
    <n v="37800"/>
    <x v="2"/>
  </r>
  <r>
    <s v="ORD-001298"/>
    <x v="8"/>
    <s v="PA-009"/>
    <n v="25000"/>
    <x v="2"/>
  </r>
  <r>
    <s v="ORD-001299"/>
    <x v="16"/>
    <s v="PA-017"/>
    <n v="252700"/>
    <x v="2"/>
  </r>
  <r>
    <s v="ORD-001300"/>
    <x v="6"/>
    <s v="PA-007"/>
    <n v="256200"/>
    <x v="2"/>
  </r>
  <r>
    <s v="ORD-001301"/>
    <x v="6"/>
    <s v="PA-007"/>
    <n v="205700"/>
    <x v="2"/>
  </r>
  <r>
    <s v="ORD-001302"/>
    <x v="6"/>
    <s v="PA-007"/>
    <n v="29500"/>
    <x v="2"/>
  </r>
  <r>
    <s v="ORD-001303"/>
    <x v="6"/>
    <s v="PA-007"/>
    <n v="43600"/>
    <x v="2"/>
  </r>
  <r>
    <s v="ORD-001304"/>
    <x v="6"/>
    <s v="PA-007"/>
    <n v="65800"/>
    <x v="2"/>
  </r>
  <r>
    <s v="ORD-001305"/>
    <x v="9"/>
    <s v="PA-010"/>
    <n v="265200"/>
    <x v="2"/>
  </r>
  <r>
    <s v="ORD-001306"/>
    <x v="9"/>
    <s v="PA-010"/>
    <n v="154500"/>
    <x v="2"/>
  </r>
  <r>
    <s v="ORD-001307"/>
    <x v="9"/>
    <s v="PA-010"/>
    <n v="61900"/>
    <x v="2"/>
  </r>
  <r>
    <s v="ORD-001308"/>
    <x v="24"/>
    <s v="PA-025"/>
    <n v="207900"/>
    <x v="2"/>
  </r>
  <r>
    <s v="ORD-001309"/>
    <x v="24"/>
    <s v="PA-025"/>
    <n v="243700"/>
    <x v="2"/>
  </r>
  <r>
    <s v="ORD-001310"/>
    <x v="4"/>
    <s v="PA-005"/>
    <n v="71800"/>
    <x v="2"/>
  </r>
  <r>
    <s v="ORD-001311"/>
    <x v="4"/>
    <s v="PA-005"/>
    <n v="217300"/>
    <x v="2"/>
  </r>
  <r>
    <s v="ORD-001312"/>
    <x v="4"/>
    <s v="PA-005"/>
    <n v="64300"/>
    <x v="2"/>
  </r>
  <r>
    <s v="ORD-001313"/>
    <x v="4"/>
    <s v="PA-005"/>
    <n v="48000"/>
    <x v="2"/>
  </r>
  <r>
    <s v="ORD-001314"/>
    <x v="4"/>
    <s v="PA-005"/>
    <n v="148400"/>
    <x v="2"/>
  </r>
  <r>
    <s v="ORD-001315"/>
    <x v="4"/>
    <s v="PA-005"/>
    <n v="114000"/>
    <x v="2"/>
  </r>
  <r>
    <s v="ORD-001316"/>
    <x v="29"/>
    <s v="PA-033"/>
    <n v="75100"/>
    <x v="2"/>
  </r>
  <r>
    <s v="ORD-001317"/>
    <x v="8"/>
    <s v="PA-009"/>
    <n v="62000"/>
    <x v="2"/>
  </r>
  <r>
    <s v="ORD-001318"/>
    <x v="24"/>
    <s v="PA-025"/>
    <n v="49300"/>
    <x v="2"/>
  </r>
  <r>
    <s v="ORD-001319"/>
    <x v="6"/>
    <s v="PA-007"/>
    <n v="54000"/>
    <x v="2"/>
  </r>
  <r>
    <s v="ORD-001320"/>
    <x v="9"/>
    <s v="PA-010"/>
    <n v="74300"/>
    <x v="2"/>
  </r>
  <r>
    <s v="ORD-001321"/>
    <x v="6"/>
    <s v="PA-007"/>
    <n v="50000"/>
    <x v="2"/>
  </r>
  <r>
    <s v="ORD-001322"/>
    <x v="28"/>
    <s v="PA-032"/>
    <n v="42300"/>
    <x v="2"/>
  </r>
  <r>
    <s v="ORD-001323"/>
    <x v="24"/>
    <s v="PA-025"/>
    <n v="247800"/>
    <x v="2"/>
  </r>
  <r>
    <s v="ORD-001324"/>
    <x v="8"/>
    <s v="PA-009"/>
    <n v="72200"/>
    <x v="2"/>
  </r>
  <r>
    <s v="ORD-001325"/>
    <x v="8"/>
    <s v="PA-009"/>
    <n v="64600"/>
    <x v="2"/>
  </r>
  <r>
    <s v="ORD-001326"/>
    <x v="24"/>
    <s v="PA-025"/>
    <n v="242000"/>
    <x v="2"/>
  </r>
  <r>
    <s v="ORD-001327"/>
    <x v="23"/>
    <s v="PA-024"/>
    <n v="36100"/>
    <x v="2"/>
  </r>
  <r>
    <s v="ORD-001328"/>
    <x v="8"/>
    <s v="PA-009"/>
    <n v="61300"/>
    <x v="2"/>
  </r>
  <r>
    <s v="ORD-001329"/>
    <x v="8"/>
    <s v="PA-009"/>
    <n v="46200"/>
    <x v="2"/>
  </r>
  <r>
    <s v="ORD-001330"/>
    <x v="65"/>
    <s v="PA-072"/>
    <n v="11700"/>
    <x v="2"/>
  </r>
  <r>
    <s v="ORD-001331"/>
    <x v="69"/>
    <s v="PA-076"/>
    <n v="6000"/>
    <x v="2"/>
  </r>
  <r>
    <s v="ORD-001332"/>
    <x v="9"/>
    <s v="PA-010"/>
    <n v="11700"/>
    <x v="2"/>
  </r>
  <r>
    <s v="ORD-001333"/>
    <x v="20"/>
    <s v="PA-021"/>
    <n v="25500"/>
    <x v="2"/>
  </r>
  <r>
    <s v="ORD-001334"/>
    <x v="6"/>
    <s v="PA-007"/>
    <n v="6200"/>
    <x v="2"/>
  </r>
  <r>
    <s v="ORD-001335"/>
    <x v="6"/>
    <s v="PA-007"/>
    <n v="5100"/>
    <x v="2"/>
  </r>
  <r>
    <s v="ORD-001336"/>
    <x v="6"/>
    <s v="PA-007"/>
    <n v="2500"/>
    <x v="2"/>
  </r>
  <r>
    <s v="ORD-001337"/>
    <x v="69"/>
    <s v="PA-076"/>
    <n v="4200"/>
    <x v="2"/>
  </r>
  <r>
    <s v="ORD-001338"/>
    <x v="22"/>
    <s v="PA-023"/>
    <n v="2200"/>
    <x v="2"/>
  </r>
  <r>
    <s v="ORD-001339"/>
    <x v="4"/>
    <s v="PA-005"/>
    <n v="9800"/>
    <x v="2"/>
  </r>
  <r>
    <s v="ORD-001340"/>
    <x v="22"/>
    <s v="PA-023"/>
    <n v="95400"/>
    <x v="2"/>
  </r>
  <r>
    <s v="ORD-001341"/>
    <x v="16"/>
    <s v="PA-017"/>
    <n v="62300"/>
    <x v="2"/>
  </r>
  <r>
    <s v="ORD-001342"/>
    <x v="16"/>
    <s v="PA-017"/>
    <n v="66500"/>
    <x v="2"/>
  </r>
  <r>
    <s v="ORD-001343"/>
    <x v="16"/>
    <s v="PA-017"/>
    <n v="53300"/>
    <x v="2"/>
  </r>
  <r>
    <s v="ORD-001344"/>
    <x v="16"/>
    <s v="PA-017"/>
    <n v="73700"/>
    <x v="2"/>
  </r>
  <r>
    <s v="ORD-001345"/>
    <x v="23"/>
    <s v="PA-024"/>
    <n v="64200"/>
    <x v="2"/>
  </r>
  <r>
    <s v="ORD-001346"/>
    <x v="8"/>
    <s v="PA-009"/>
    <n v="57300"/>
    <x v="2"/>
  </r>
  <r>
    <s v="ORD-001347"/>
    <x v="6"/>
    <s v="PA-007"/>
    <n v="58700"/>
    <x v="2"/>
  </r>
  <r>
    <s v="ORD-001348"/>
    <x v="6"/>
    <s v="PA-007"/>
    <n v="45300"/>
    <x v="2"/>
  </r>
  <r>
    <s v="ORD-001349"/>
    <x v="6"/>
    <s v="PA-007"/>
    <n v="50200"/>
    <x v="2"/>
  </r>
  <r>
    <s v="ORD-001350"/>
    <x v="34"/>
    <s v="PA-038"/>
    <n v="132200"/>
    <x v="2"/>
  </r>
  <r>
    <s v="ORD-001351"/>
    <x v="4"/>
    <s v="PA-005"/>
    <n v="43600"/>
    <x v="2"/>
  </r>
  <r>
    <s v="ORD-001352"/>
    <x v="4"/>
    <s v="PA-005"/>
    <n v="59700"/>
    <x v="2"/>
  </r>
  <r>
    <s v="ORD-001353"/>
    <x v="80"/>
    <s v="PA-090"/>
    <n v="108400"/>
    <x v="2"/>
  </r>
  <r>
    <s v="ORD-001354"/>
    <x v="8"/>
    <s v="PA-009"/>
    <n v="500500"/>
    <x v="2"/>
  </r>
  <r>
    <s v="ORD-001355"/>
    <x v="16"/>
    <s v="PA-017"/>
    <n v="58900"/>
    <x v="2"/>
  </r>
  <r>
    <s v="ORD-001356"/>
    <x v="16"/>
    <s v="PA-017"/>
    <n v="62000"/>
    <x v="2"/>
  </r>
  <r>
    <s v="ORD-001357"/>
    <x v="16"/>
    <s v="PA-017"/>
    <n v="66600"/>
    <x v="2"/>
  </r>
  <r>
    <s v="ORD-001358"/>
    <x v="16"/>
    <s v="PA-017"/>
    <n v="65000"/>
    <x v="2"/>
  </r>
  <r>
    <s v="ORD-001359"/>
    <x v="24"/>
    <s v="PA-025"/>
    <n v="63700"/>
    <x v="2"/>
  </r>
  <r>
    <s v="ORD-001360"/>
    <x v="42"/>
    <s v="PA-046"/>
    <n v="86100"/>
    <x v="2"/>
  </r>
  <r>
    <s v="ORD-001361"/>
    <x v="60"/>
    <s v="PA-065"/>
    <n v="42200"/>
    <x v="2"/>
  </r>
  <r>
    <s v="ORD-001362"/>
    <x v="17"/>
    <s v="PA-018"/>
    <n v="70800"/>
    <x v="2"/>
  </r>
  <r>
    <s v="ORD-001363"/>
    <x v="10"/>
    <s v="PA-011"/>
    <n v="151400"/>
    <x v="2"/>
  </r>
  <r>
    <s v="ORD-001364"/>
    <x v="23"/>
    <s v="PA-024"/>
    <n v="124400"/>
    <x v="2"/>
  </r>
  <r>
    <s v="ORD-001365"/>
    <x v="4"/>
    <s v="PA-005"/>
    <n v="59700"/>
    <x v="2"/>
  </r>
  <r>
    <s v="ORD-001366"/>
    <x v="14"/>
    <s v="PA-015"/>
    <n v="127700"/>
    <x v="2"/>
  </r>
  <r>
    <s v="ORD-001367"/>
    <x v="8"/>
    <s v="PA-009"/>
    <n v="159800"/>
    <x v="2"/>
  </r>
  <r>
    <s v="ORD-001368"/>
    <x v="19"/>
    <s v="PA-020"/>
    <n v="140300"/>
    <x v="2"/>
  </r>
  <r>
    <s v="ORD-001369"/>
    <x v="79"/>
    <s v="PA-089"/>
    <n v="269400"/>
    <x v="2"/>
  </r>
  <r>
    <s v="ORD-001370"/>
    <x v="4"/>
    <s v="PA-005"/>
    <n v="37200"/>
    <x v="2"/>
  </r>
  <r>
    <s v="ORD-001371"/>
    <x v="4"/>
    <s v="PA-005"/>
    <n v="46000"/>
    <x v="2"/>
  </r>
  <r>
    <s v="ORD-001372"/>
    <x v="9"/>
    <s v="PA-010"/>
    <n v="164600"/>
    <x v="2"/>
  </r>
  <r>
    <s v="ORD-001373"/>
    <x v="9"/>
    <s v="PA-010"/>
    <n v="153600"/>
    <x v="2"/>
  </r>
  <r>
    <s v="ORD-001374"/>
    <x v="22"/>
    <s v="PA-023"/>
    <n v="55400"/>
    <x v="2"/>
  </r>
  <r>
    <s v="ORD-001375"/>
    <x v="22"/>
    <s v="PA-023"/>
    <n v="51600"/>
    <x v="2"/>
  </r>
  <r>
    <s v="ORD-001376"/>
    <x v="8"/>
    <s v="PA-009"/>
    <n v="92000"/>
    <x v="2"/>
  </r>
  <r>
    <s v="ORD-001377"/>
    <x v="24"/>
    <s v="PA-025"/>
    <n v="55900"/>
    <x v="2"/>
  </r>
  <r>
    <s v="ORD-001378"/>
    <x v="24"/>
    <s v="PA-025"/>
    <n v="49700"/>
    <x v="2"/>
  </r>
  <r>
    <s v="ORD-001379"/>
    <x v="6"/>
    <s v="PA-007"/>
    <n v="46900"/>
    <x v="2"/>
  </r>
  <r>
    <s v="ORD-001380"/>
    <x v="0"/>
    <s v="PA-001"/>
    <n v="53100"/>
    <x v="2"/>
  </r>
  <r>
    <s v="ORD-001381"/>
    <x v="0"/>
    <s v="PA-001"/>
    <n v="54600"/>
    <x v="2"/>
  </r>
  <r>
    <s v="ORD-001382"/>
    <x v="0"/>
    <s v="PA-001"/>
    <n v="71400"/>
    <x v="2"/>
  </r>
  <r>
    <s v="ORD-001383"/>
    <x v="5"/>
    <s v="PA-006"/>
    <n v="40800"/>
    <x v="2"/>
  </r>
  <r>
    <s v="ORD-001384"/>
    <x v="5"/>
    <s v="PA-006"/>
    <n v="45400"/>
    <x v="2"/>
  </r>
  <r>
    <s v="ORD-001385"/>
    <x v="4"/>
    <s v="PA-005"/>
    <n v="47600"/>
    <x v="2"/>
  </r>
  <r>
    <s v="ORD-001386"/>
    <x v="4"/>
    <s v="PA-005"/>
    <n v="183400"/>
    <x v="2"/>
  </r>
  <r>
    <s v="ORD-001387"/>
    <x v="4"/>
    <s v="PA-005"/>
    <n v="155100"/>
    <x v="2"/>
  </r>
  <r>
    <s v="ORD-001388"/>
    <x v="24"/>
    <s v="PA-025"/>
    <n v="46700"/>
    <x v="2"/>
  </r>
  <r>
    <s v="ORD-001389"/>
    <x v="9"/>
    <s v="PA-010"/>
    <n v="91800"/>
    <x v="2"/>
  </r>
  <r>
    <s v="ORD-001390"/>
    <x v="10"/>
    <s v="PA-011"/>
    <n v="150000"/>
    <x v="2"/>
  </r>
  <r>
    <s v="ORD-001391"/>
    <x v="92"/>
    <s v="PA-106"/>
    <n v="264100"/>
    <x v="2"/>
  </r>
  <r>
    <s v="ORD-001392"/>
    <x v="24"/>
    <s v="PA-025"/>
    <n v="53600"/>
    <x v="2"/>
  </r>
  <r>
    <s v="ORD-001393"/>
    <x v="17"/>
    <s v="PA-018"/>
    <n v="32700"/>
    <x v="2"/>
  </r>
  <r>
    <s v="ORD-001394"/>
    <x v="17"/>
    <s v="PA-018"/>
    <n v="54200"/>
    <x v="2"/>
  </r>
  <r>
    <s v="ORD-001395"/>
    <x v="12"/>
    <s v="PA-013"/>
    <n v="185400"/>
    <x v="2"/>
  </r>
  <r>
    <s v="ORD-001396"/>
    <x v="9"/>
    <s v="PA-010"/>
    <n v="97600"/>
    <x v="2"/>
  </r>
  <r>
    <s v="ORD-001397"/>
    <x v="9"/>
    <s v="PA-010"/>
    <n v="26600"/>
    <x v="2"/>
  </r>
  <r>
    <s v="ORD-001398"/>
    <x v="9"/>
    <s v="PA-010"/>
    <n v="46500"/>
    <x v="2"/>
  </r>
  <r>
    <s v="ORD-001399"/>
    <x v="9"/>
    <s v="PA-010"/>
    <n v="141800"/>
    <x v="2"/>
  </r>
  <r>
    <s v="ORD-001400"/>
    <x v="9"/>
    <s v="PA-010"/>
    <n v="141100"/>
    <x v="2"/>
  </r>
  <r>
    <s v="ORD-001401"/>
    <x v="8"/>
    <s v="PA-009"/>
    <n v="148800"/>
    <x v="2"/>
  </r>
  <r>
    <s v="ORD-001402"/>
    <x v="14"/>
    <s v="PA-015"/>
    <n v="180800"/>
    <x v="2"/>
  </r>
  <r>
    <s v="ORD-001403"/>
    <x v="8"/>
    <s v="PA-009"/>
    <n v="56300"/>
    <x v="2"/>
  </r>
  <r>
    <s v="ORD-001404"/>
    <x v="8"/>
    <s v="PA-009"/>
    <n v="57800"/>
    <x v="2"/>
  </r>
  <r>
    <s v="ORD-001405"/>
    <x v="42"/>
    <s v="PA-046"/>
    <n v="293000"/>
    <x v="2"/>
  </r>
  <r>
    <s v="ORD-001406"/>
    <x v="22"/>
    <s v="PA-023"/>
    <n v="198000"/>
    <x v="2"/>
  </r>
  <r>
    <s v="ORD-001407"/>
    <x v="4"/>
    <s v="PA-005"/>
    <n v="29100"/>
    <x v="2"/>
  </r>
  <r>
    <s v="ORD-001408"/>
    <x v="4"/>
    <s v="PA-005"/>
    <n v="0"/>
    <x v="2"/>
  </r>
  <r>
    <s v="ORD-001409"/>
    <x v="8"/>
    <s v="PA-009"/>
    <n v="73300"/>
    <x v="2"/>
  </r>
  <r>
    <s v="ORD-001410"/>
    <x v="6"/>
    <s v="PA-007"/>
    <n v="43700"/>
    <x v="2"/>
  </r>
  <r>
    <s v="ORD-001411"/>
    <x v="9"/>
    <s v="PA-010"/>
    <n v="93600"/>
    <x v="2"/>
  </r>
  <r>
    <s v="ORD-001412"/>
    <x v="4"/>
    <s v="PA-005"/>
    <n v="48400"/>
    <x v="2"/>
  </r>
  <r>
    <s v="ORD-001413"/>
    <x v="4"/>
    <s v="PA-005"/>
    <n v="165800"/>
    <x v="2"/>
  </r>
  <r>
    <s v="ORD-001414"/>
    <x v="19"/>
    <s v="PA-020"/>
    <n v="131300"/>
    <x v="2"/>
  </r>
  <r>
    <s v="ORD-001415"/>
    <x v="24"/>
    <s v="PA-025"/>
    <n v="226200"/>
    <x v="2"/>
  </r>
  <r>
    <s v="ORD-001416"/>
    <x v="24"/>
    <s v="PA-025"/>
    <n v="223300"/>
    <x v="2"/>
  </r>
  <r>
    <s v="ORD-001417"/>
    <x v="6"/>
    <s v="PA-007"/>
    <n v="239500"/>
    <x v="2"/>
  </r>
  <r>
    <s v="ORD-001418"/>
    <x v="6"/>
    <s v="PA-007"/>
    <n v="185400"/>
    <x v="2"/>
  </r>
  <r>
    <s v="ORD-001419"/>
    <x v="21"/>
    <s v="PA-022"/>
    <n v="16800"/>
    <x v="2"/>
  </r>
  <r>
    <s v="ORD-001420"/>
    <x v="6"/>
    <s v="PA-007"/>
    <n v="35800"/>
    <x v="2"/>
  </r>
  <r>
    <s v="ORD-001421"/>
    <x v="6"/>
    <s v="PA-007"/>
    <n v="5800"/>
    <x v="2"/>
  </r>
  <r>
    <s v="ORD-001422"/>
    <x v="9"/>
    <s v="PA-010"/>
    <n v="13400"/>
    <x v="2"/>
  </r>
  <r>
    <s v="ORD-001423"/>
    <x v="24"/>
    <s v="PA-025"/>
    <n v="1900"/>
    <x v="2"/>
  </r>
  <r>
    <s v="ORD-001424"/>
    <x v="24"/>
    <s v="PA-025"/>
    <n v="17700"/>
    <x v="2"/>
  </r>
  <r>
    <s v="ORD-001425"/>
    <x v="8"/>
    <s v="PA-009"/>
    <n v="2600"/>
    <x v="2"/>
  </r>
  <r>
    <s v="ORD-001426"/>
    <x v="9"/>
    <s v="PA-010"/>
    <n v="2600"/>
    <x v="2"/>
  </r>
  <r>
    <s v="ORD-001427"/>
    <x v="29"/>
    <s v="PA-033"/>
    <n v="12600"/>
    <x v="2"/>
  </r>
  <r>
    <s v="ORD-001428"/>
    <x v="0"/>
    <s v="PA-001"/>
    <n v="9300"/>
    <x v="2"/>
  </r>
  <r>
    <s v="ORD-001429"/>
    <x v="0"/>
    <s v="PA-001"/>
    <n v="14000"/>
    <x v="2"/>
  </r>
  <r>
    <s v="ORD-001430"/>
    <x v="0"/>
    <s v="PA-001"/>
    <n v="10100"/>
    <x v="2"/>
  </r>
  <r>
    <s v="ORD-001431"/>
    <x v="22"/>
    <s v="PA-023"/>
    <n v="1400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23A17B-8752-4352-BFCD-1C6693BBC52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8" firstHeaderRow="1" firstDataRow="2" firstDataCol="1"/>
  <pivotFields count="5">
    <pivotField showAll="0"/>
    <pivotField axis="axisRow" showAll="0">
      <items count="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showAll="0"/>
    <pivotField dataField="1" showAll="0"/>
    <pivotField axis="axisCol" showAll="0">
      <items count="4">
        <item x="0"/>
        <item x="1"/>
        <item x="2"/>
        <item t="default"/>
      </items>
    </pivotField>
  </pivotFields>
  <rowFields count="1">
    <field x="1"/>
  </rowFields>
  <rowItems count="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Count of Order Pay" fld="3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8D0EE8-1EB9-4BFA-8059-6582067D99C9}" name="churnedsummary" displayName="churnedsummary" ref="A4:B9" totalsRowShown="0" headerRowDxfId="18" dataDxfId="17">
  <autoFilter ref="A4:B9" xr:uid="{F68D0EE8-1EB9-4BFA-8059-6582067D99C9}"/>
  <tableColumns count="2">
    <tableColumn id="1" xr3:uid="{95339D80-E346-4562-B15A-A971AABBB54E}" name="Metric" dataDxfId="16"/>
    <tableColumn id="2" xr3:uid="{49E8CAFC-C658-461B-B039-E6D4F477C6E4}" name="Result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A96A98A-CF44-4B58-B867-D9647C5DC116}" name="Criticaldecline" displayName="Criticaldecline" ref="F4:G9" totalsRowShown="0" headerRowDxfId="14" dataDxfId="13">
  <autoFilter ref="F4:G9" xr:uid="{3A96A98A-CF44-4B58-B867-D9647C5DC116}"/>
  <tableColumns count="2">
    <tableColumn id="1" xr3:uid="{01E18A3D-4A1B-41AC-BCFB-9D5B8F935D17}" name="Metric" dataDxfId="12"/>
    <tableColumn id="2" xr3:uid="{BF251231-26E1-41E6-BA73-FF27FD073A39}" name="Result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92AC593-4754-4417-BB8C-24F3C7D55716}" name="riskaccount" displayName="riskaccount" ref="I4:J9" totalsRowShown="0">
  <autoFilter ref="I4:J9" xr:uid="{392AC593-4754-4417-BB8C-24F3C7D55716}"/>
  <tableColumns count="2">
    <tableColumn id="1" xr3:uid="{FA422775-CCAE-4C7B-BE95-41762599AA0E}" name="Metric" dataDxfId="10"/>
    <tableColumn id="2" xr3:uid="{9F6DBA29-BEC2-4C81-9949-E90A7E5D979F}" name="Result" dataDxf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5500FF3-A1B7-44C9-B746-AB028F2E61FF}" name="Newtrial" displayName="Newtrial" ref="A12:B15" totalsRowShown="0" headerRowDxfId="8" dataDxfId="7">
  <autoFilter ref="A12:B15" xr:uid="{B5500FF3-A1B7-44C9-B746-AB028F2E61FF}"/>
  <tableColumns count="2">
    <tableColumn id="1" xr3:uid="{A469037A-BFAA-498B-8108-7156CAECEDC4}" name="Metric" dataDxfId="6"/>
    <tableColumn id="2" xr3:uid="{954DC089-B3B1-4016-9CE5-51A1425AF319}" name="Result" dataDxfId="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6406095-C485-4A97-9357-AF7DEE574AEF}" name="totalsummary" displayName="totalsummary" ref="F13:G28" totalsRowShown="0">
  <autoFilter ref="F13:G28" xr:uid="{46406095-C485-4A97-9357-AF7DEE574AEF}"/>
  <tableColumns count="2">
    <tableColumn id="1" xr3:uid="{65FD4167-E899-49EC-B3E8-401D57E10B2E}" name="Metric" dataDxfId="4"/>
    <tableColumn id="2" xr3:uid="{59F9F767-02EE-42C2-A3B8-25A156B95D03}" name="Result" dataDxfId="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ED470EE-0BE3-460C-B3BD-1500AFBC6C1D}" name="Table1" displayName="Table1" ref="A18:B24" totalsRowShown="0" tableBorderDxfId="2">
  <autoFilter ref="A18:B24" xr:uid="{6ED470EE-0BE3-460C-B3BD-1500AFBC6C1D}"/>
  <sortState xmlns:xlrd2="http://schemas.microsoft.com/office/spreadsheetml/2017/richdata2" ref="A19:B24">
    <sortCondition descending="1" ref="B19:B24"/>
  </sortState>
  <tableColumns count="2">
    <tableColumn id="1" xr3:uid="{6B18B9CA-5A3E-406A-BD83-1011489FB447}" name="Customer Segment" dataDxfId="1"/>
    <tableColumn id="2" xr3:uid="{28E9CC10-37F6-451F-A986-61FDFB624036}" name="Number of Accounts" dataDxfId="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2061C1B-0E71-40D1-9F09-6E25365E2BA6}" name="Table6" displayName="Table6" ref="A1:E1432" totalsRowShown="0">
  <autoFilter ref="A1:E1432" xr:uid="{42061C1B-0E71-40D1-9F09-6E25365E2BA6}"/>
  <tableColumns count="5">
    <tableColumn id="1" xr3:uid="{9643384E-F164-4601-A0FE-40D345A836D5}" name="Order Id"/>
    <tableColumn id="14" xr3:uid="{4691C839-2391-4A55-98B0-019AD1FD503E}" name="Portfolio Account Name"/>
    <tableColumn id="13" xr3:uid="{A9A0A0CE-6796-4BC1-A778-34D82EFDADA0}" name="Portfolio Parent customer Code"/>
    <tableColumn id="16" xr3:uid="{C8729D81-1315-4C8C-B4EA-A352E0FACEF6}" name="Order Pay"/>
    <tableColumn id="22" xr3:uid="{2AAC6198-71C4-4970-AAC4-1825E536F3A1}" name="Quar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2D919-B1D6-4D3C-B735-CED700FA5C48}">
  <dimension ref="A1:K44"/>
  <sheetViews>
    <sheetView showGridLines="0" showRowColHeaders="0" tabSelected="1" zoomScale="80" zoomScaleNormal="80" workbookViewId="0">
      <selection activeCell="M4" sqref="M4"/>
    </sheetView>
  </sheetViews>
  <sheetFormatPr defaultRowHeight="14.5" x14ac:dyDescent="0.35"/>
  <cols>
    <col min="2" max="10" width="12.6328125" customWidth="1"/>
  </cols>
  <sheetData>
    <row r="1" spans="1:11" ht="26" x14ac:dyDescent="0.6">
      <c r="A1" s="23"/>
      <c r="B1" s="28" t="s">
        <v>1688</v>
      </c>
      <c r="C1" s="24"/>
      <c r="D1" s="24"/>
      <c r="E1" s="24"/>
      <c r="F1" s="23"/>
      <c r="G1" s="23"/>
      <c r="H1" s="27" t="s">
        <v>1685</v>
      </c>
      <c r="I1" s="23"/>
      <c r="J1" s="23" t="s">
        <v>1686</v>
      </c>
      <c r="K1" s="23">
        <f>IF(J1="All",SUM('Recovery Analysis'!B19:B24),SUMIF('Recovery Analysis'!A19:A24,J1,'Recovery Analysis'!B19:B24))</f>
        <v>93</v>
      </c>
    </row>
    <row r="2" spans="1:11" x14ac:dyDescent="0.35">
      <c r="A2" s="23"/>
      <c r="B2" s="26" t="s">
        <v>1689</v>
      </c>
      <c r="C2" s="25"/>
      <c r="D2" s="25"/>
      <c r="E2" s="25"/>
      <c r="F2" s="25"/>
      <c r="G2" s="23"/>
      <c r="H2" s="23"/>
      <c r="I2" s="23"/>
      <c r="J2" s="23"/>
      <c r="K2" s="23"/>
    </row>
    <row r="3" spans="1:11" ht="15" thickBot="1" x14ac:dyDescent="0.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1" ht="15" thickBot="1" x14ac:dyDescent="0.4">
      <c r="A4" s="23"/>
      <c r="B4" s="35" t="s">
        <v>1671</v>
      </c>
      <c r="C4" s="36"/>
      <c r="D4" s="37"/>
      <c r="E4" s="35" t="s">
        <v>1666</v>
      </c>
      <c r="F4" s="36"/>
      <c r="G4" s="37"/>
      <c r="H4" s="35" t="s">
        <v>1667</v>
      </c>
      <c r="I4" s="36"/>
      <c r="J4" s="37"/>
      <c r="K4" s="23"/>
    </row>
    <row r="5" spans="1:11" ht="15" thickBot="1" x14ac:dyDescent="0.4">
      <c r="A5" s="23"/>
      <c r="B5" s="32">
        <f>'Recovery Analysis'!G14</f>
        <v>93</v>
      </c>
      <c r="C5" s="33"/>
      <c r="D5" s="34"/>
      <c r="E5" s="32">
        <f>'Recovery Analysis'!G15</f>
        <v>524</v>
      </c>
      <c r="F5" s="33"/>
      <c r="G5" s="34"/>
      <c r="H5" s="32">
        <f>'Recovery Analysis'!G16</f>
        <v>568</v>
      </c>
      <c r="I5" s="33"/>
      <c r="J5" s="34"/>
      <c r="K5" s="23"/>
    </row>
    <row r="6" spans="1:11" ht="15" thickBot="1" x14ac:dyDescent="0.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</row>
    <row r="7" spans="1:11" ht="15" thickBot="1" x14ac:dyDescent="0.4">
      <c r="A7" s="23"/>
      <c r="B7" s="35" t="s">
        <v>1673</v>
      </c>
      <c r="C7" s="36"/>
      <c r="D7" s="37"/>
      <c r="E7" s="35" t="s">
        <v>1674</v>
      </c>
      <c r="F7" s="36"/>
      <c r="G7" s="37"/>
      <c r="H7" s="35" t="s">
        <v>1672</v>
      </c>
      <c r="I7" s="36"/>
      <c r="J7" s="37"/>
      <c r="K7" s="23"/>
    </row>
    <row r="8" spans="1:11" ht="15" thickBot="1" x14ac:dyDescent="0.4">
      <c r="A8" s="23"/>
      <c r="B8" s="29">
        <f>'Recovery Analysis'!G17</f>
        <v>8.4000000000000005E-2</v>
      </c>
      <c r="C8" s="30"/>
      <c r="D8" s="31"/>
      <c r="E8" s="32">
        <f>'Recovery Analysis'!G18</f>
        <v>31</v>
      </c>
      <c r="F8" s="33"/>
      <c r="G8" s="34"/>
      <c r="H8" s="29">
        <f>'Recovery Analysis'!G21</f>
        <v>0.67500000000000004</v>
      </c>
      <c r="I8" s="30"/>
      <c r="J8" s="31"/>
      <c r="K8" s="23"/>
    </row>
    <row r="9" spans="1:11" x14ac:dyDescent="0.3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</row>
    <row r="10" spans="1:11" x14ac:dyDescent="0.3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3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</row>
    <row r="12" spans="1:11" x14ac:dyDescent="0.3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</row>
    <row r="13" spans="1:11" x14ac:dyDescent="0.3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3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</row>
    <row r="15" spans="1:11" x14ac:dyDescent="0.3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</row>
    <row r="16" spans="1:11" x14ac:dyDescent="0.3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5" customHeight="1" x14ac:dyDescent="0.3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</row>
    <row r="18" spans="1:11" x14ac:dyDescent="0.3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</row>
    <row r="19" spans="1:11" x14ac:dyDescent="0.3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</row>
    <row r="20" spans="1:11" x14ac:dyDescent="0.3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</row>
    <row r="21" spans="1:11" x14ac:dyDescent="0.3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</row>
    <row r="22" spans="1:11" x14ac:dyDescent="0.3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</row>
    <row r="23" spans="1:11" x14ac:dyDescent="0.3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</row>
    <row r="24" spans="1:11" x14ac:dyDescent="0.3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</row>
    <row r="25" spans="1:11" x14ac:dyDescent="0.3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</row>
    <row r="26" spans="1:11" x14ac:dyDescent="0.3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</row>
    <row r="27" spans="1:11" x14ac:dyDescent="0.3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</row>
    <row r="28" spans="1:11" x14ac:dyDescent="0.3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</row>
    <row r="29" spans="1:11" x14ac:dyDescent="0.3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</row>
    <row r="30" spans="1:11" x14ac:dyDescent="0.3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</row>
    <row r="31" spans="1:11" x14ac:dyDescent="0.3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</row>
    <row r="32" spans="1:11" x14ac:dyDescent="0.3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</row>
    <row r="33" spans="1:11" x14ac:dyDescent="0.3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</row>
    <row r="34" spans="1:11" x14ac:dyDescent="0.3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</row>
    <row r="35" spans="1:11" x14ac:dyDescent="0.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</row>
    <row r="36" spans="1:11" x14ac:dyDescent="0.3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</row>
    <row r="37" spans="1:11" x14ac:dyDescent="0.3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</row>
    <row r="38" spans="1:11" x14ac:dyDescent="0.35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</row>
    <row r="39" spans="1:11" x14ac:dyDescent="0.3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</row>
    <row r="40" spans="1:11" x14ac:dyDescent="0.35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</row>
    <row r="41" spans="1:11" x14ac:dyDescent="0.3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</row>
    <row r="42" spans="1:11" x14ac:dyDescent="0.3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</row>
    <row r="43" spans="1:11" x14ac:dyDescent="0.35">
      <c r="A43" s="23"/>
      <c r="K43" s="23"/>
    </row>
    <row r="44" spans="1:11" x14ac:dyDescent="0.35">
      <c r="A44" s="23"/>
      <c r="K44" s="23"/>
    </row>
  </sheetData>
  <sortState xmlns:xlrd2="http://schemas.microsoft.com/office/spreadsheetml/2017/richdata2" ref="C13:C18">
    <sortCondition descending="1" ref="C12:C18"/>
  </sortState>
  <mergeCells count="12">
    <mergeCell ref="B4:D4"/>
    <mergeCell ref="B5:D5"/>
    <mergeCell ref="E4:G4"/>
    <mergeCell ref="H4:J4"/>
    <mergeCell ref="E5:G5"/>
    <mergeCell ref="H5:J5"/>
    <mergeCell ref="B8:D8"/>
    <mergeCell ref="E8:G8"/>
    <mergeCell ref="H8:J8"/>
    <mergeCell ref="B7:D7"/>
    <mergeCell ref="E7:G7"/>
    <mergeCell ref="H7:J7"/>
  </mergeCells>
  <dataValidations count="1">
    <dataValidation type="list" allowBlank="1" showInputMessage="1" showErrorMessage="1" sqref="J1" xr:uid="{668139AD-42FC-4039-9318-E081275E6CC1}">
      <formula1>"All,Stable / Active,Still Churned,Critical Decline,New Trial Accounts,Recovered in Q3,Inactive / Other"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84E72-5EAF-41BB-87E6-9950989E26B9}">
  <dimension ref="A3:F11"/>
  <sheetViews>
    <sheetView topLeftCell="A3" workbookViewId="0">
      <selection activeCell="F6" sqref="F6"/>
    </sheetView>
  </sheetViews>
  <sheetFormatPr defaultRowHeight="14.5" x14ac:dyDescent="0.35"/>
  <cols>
    <col min="1" max="1" width="11.453125" customWidth="1"/>
    <col min="2" max="2" width="14" customWidth="1"/>
  </cols>
  <sheetData>
    <row r="3" spans="1:6" ht="43.5" x14ac:dyDescent="0.35">
      <c r="A3" s="13" t="s">
        <v>1675</v>
      </c>
      <c r="B3" s="14" t="s">
        <v>1676</v>
      </c>
      <c r="E3" t="s">
        <v>1</v>
      </c>
      <c r="F3" t="s">
        <v>1681</v>
      </c>
    </row>
    <row r="4" spans="1:6" ht="29" x14ac:dyDescent="0.35">
      <c r="A4" s="17" t="s">
        <v>1677</v>
      </c>
      <c r="B4" s="16">
        <f>'Recovery Analysis'!B6</f>
        <v>23</v>
      </c>
      <c r="E4" t="s">
        <v>2</v>
      </c>
      <c r="F4">
        <v>524</v>
      </c>
    </row>
    <row r="5" spans="1:6" ht="29" x14ac:dyDescent="0.35">
      <c r="A5" s="15" t="s">
        <v>6</v>
      </c>
      <c r="B5" s="18"/>
      <c r="E5" t="s">
        <v>3</v>
      </c>
      <c r="F5">
        <v>339</v>
      </c>
    </row>
    <row r="6" spans="1:6" ht="29" x14ac:dyDescent="0.35">
      <c r="A6" s="15" t="s">
        <v>7</v>
      </c>
      <c r="B6" s="18">
        <v>13</v>
      </c>
      <c r="E6" t="s">
        <v>4</v>
      </c>
      <c r="F6">
        <v>568</v>
      </c>
    </row>
    <row r="7" spans="1:6" ht="29" x14ac:dyDescent="0.35">
      <c r="A7" s="17" t="s">
        <v>1679</v>
      </c>
      <c r="B7" s="16">
        <v>8</v>
      </c>
    </row>
    <row r="8" spans="1:6" ht="29" x14ac:dyDescent="0.35">
      <c r="A8" s="17" t="s">
        <v>1680</v>
      </c>
      <c r="B8" s="16">
        <v>6</v>
      </c>
    </row>
    <row r="9" spans="1:6" ht="29" x14ac:dyDescent="0.35">
      <c r="A9" s="21" t="s">
        <v>1678</v>
      </c>
      <c r="B9" s="20">
        <v>6</v>
      </c>
      <c r="E9" s="4" t="s">
        <v>1683</v>
      </c>
      <c r="F9" s="9" t="s">
        <v>1684</v>
      </c>
    </row>
    <row r="10" spans="1:6" ht="29" x14ac:dyDescent="0.35">
      <c r="E10" s="5" t="s">
        <v>1677</v>
      </c>
      <c r="F10" s="8">
        <v>23</v>
      </c>
    </row>
    <row r="11" spans="1:6" ht="29" x14ac:dyDescent="0.35">
      <c r="E11" s="5" t="s">
        <v>1678</v>
      </c>
      <c r="F11" s="8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67739-028D-4FF6-8A53-CFB087CAFA8B}">
  <dimension ref="A1:J33"/>
  <sheetViews>
    <sheetView zoomScaleNormal="100" workbookViewId="0"/>
  </sheetViews>
  <sheetFormatPr defaultRowHeight="14.5" x14ac:dyDescent="0.35"/>
  <cols>
    <col min="1" max="1" width="24.81640625" customWidth="1"/>
    <col min="2" max="2" width="19.7265625" customWidth="1"/>
    <col min="4" max="4" width="17.1796875" bestFit="1" customWidth="1"/>
    <col min="6" max="6" width="22.1796875" bestFit="1" customWidth="1"/>
    <col min="7" max="7" width="16.08984375" customWidth="1"/>
    <col min="9" max="9" width="25.36328125" bestFit="1" customWidth="1"/>
    <col min="10" max="10" width="8.1796875" customWidth="1"/>
  </cols>
  <sheetData>
    <row r="1" spans="1:10" x14ac:dyDescent="0.35">
      <c r="A1" t="s">
        <v>1688</v>
      </c>
    </row>
    <row r="3" spans="1:10" x14ac:dyDescent="0.35">
      <c r="A3" t="s">
        <v>1642</v>
      </c>
      <c r="F3" t="s">
        <v>1648</v>
      </c>
      <c r="I3" t="s">
        <v>1651</v>
      </c>
    </row>
    <row r="4" spans="1:10" x14ac:dyDescent="0.35">
      <c r="A4" s="4" t="s">
        <v>1636</v>
      </c>
      <c r="B4" s="4" t="s">
        <v>1637</v>
      </c>
      <c r="F4" s="4" t="s">
        <v>1636</v>
      </c>
      <c r="G4" s="4" t="s">
        <v>1637</v>
      </c>
      <c r="I4" s="4" t="s">
        <v>1636</v>
      </c>
      <c r="J4" s="9" t="s">
        <v>1637</v>
      </c>
    </row>
    <row r="5" spans="1:10" ht="24.5" customHeight="1" x14ac:dyDescent="0.35">
      <c r="A5" s="5" t="s">
        <v>1638</v>
      </c>
      <c r="B5" s="5">
        <v>93</v>
      </c>
      <c r="F5" s="5" t="s">
        <v>1635</v>
      </c>
      <c r="G5" s="5">
        <v>115</v>
      </c>
      <c r="I5" s="5" t="s">
        <v>1649</v>
      </c>
      <c r="J5" s="8">
        <v>31</v>
      </c>
    </row>
    <row r="6" spans="1:10" ht="29" x14ac:dyDescent="0.35">
      <c r="A6" s="5" t="s">
        <v>1639</v>
      </c>
      <c r="B6" s="5">
        <v>23</v>
      </c>
      <c r="F6" s="5" t="s">
        <v>1644</v>
      </c>
      <c r="G6" s="5">
        <v>52</v>
      </c>
      <c r="I6" s="5" t="s">
        <v>1635</v>
      </c>
      <c r="J6" s="8">
        <v>160</v>
      </c>
    </row>
    <row r="7" spans="1:10" ht="31.5" customHeight="1" x14ac:dyDescent="0.35">
      <c r="A7" s="5" t="s">
        <v>1640</v>
      </c>
      <c r="B7" s="5">
        <v>45</v>
      </c>
      <c r="F7" s="5" t="s">
        <v>1645</v>
      </c>
      <c r="G7" s="5">
        <v>8</v>
      </c>
      <c r="I7" s="5" t="s">
        <v>1644</v>
      </c>
      <c r="J7" s="8">
        <v>52</v>
      </c>
    </row>
    <row r="8" spans="1:10" ht="27" customHeight="1" x14ac:dyDescent="0.35">
      <c r="A8" s="5" t="s">
        <v>1641</v>
      </c>
      <c r="B8" s="6">
        <v>0.24729999999999999</v>
      </c>
      <c r="E8" s="2"/>
      <c r="F8" s="5" t="s">
        <v>1646</v>
      </c>
      <c r="G8" s="7">
        <v>0.22</v>
      </c>
      <c r="I8" s="5" t="s">
        <v>1650</v>
      </c>
      <c r="J8" s="10">
        <v>0.30530000000000002</v>
      </c>
    </row>
    <row r="9" spans="1:10" ht="23.5" customHeight="1" x14ac:dyDescent="0.35">
      <c r="A9" s="5" t="s">
        <v>1643</v>
      </c>
      <c r="B9" s="6">
        <v>8.5900000000000004E-2</v>
      </c>
      <c r="F9" s="5" t="s">
        <v>1647</v>
      </c>
      <c r="G9" s="6">
        <v>0.54779999999999995</v>
      </c>
      <c r="I9" s="5" t="s">
        <v>1647</v>
      </c>
      <c r="J9" s="10">
        <v>0.67500000000000004</v>
      </c>
    </row>
    <row r="11" spans="1:10" x14ac:dyDescent="0.35">
      <c r="A11" t="s">
        <v>1654</v>
      </c>
    </row>
    <row r="12" spans="1:10" x14ac:dyDescent="0.35">
      <c r="A12" s="4" t="s">
        <v>1636</v>
      </c>
      <c r="B12" s="4" t="s">
        <v>1637</v>
      </c>
      <c r="F12" t="s">
        <v>1658</v>
      </c>
    </row>
    <row r="13" spans="1:10" x14ac:dyDescent="0.35">
      <c r="A13" s="5" t="s">
        <v>1652</v>
      </c>
      <c r="B13" s="5">
        <v>13</v>
      </c>
      <c r="F13" s="4" t="s">
        <v>1636</v>
      </c>
      <c r="G13" s="4" t="s">
        <v>1637</v>
      </c>
    </row>
    <row r="14" spans="1:10" x14ac:dyDescent="0.35">
      <c r="A14" s="5" t="s">
        <v>1644</v>
      </c>
      <c r="B14" s="5">
        <v>16</v>
      </c>
      <c r="F14" s="5" t="s">
        <v>1638</v>
      </c>
      <c r="G14" s="8">
        <v>93</v>
      </c>
    </row>
    <row r="15" spans="1:10" ht="29" x14ac:dyDescent="0.35">
      <c r="A15" s="5" t="s">
        <v>1653</v>
      </c>
      <c r="B15" s="5">
        <v>1.23</v>
      </c>
      <c r="F15" s="5" t="s">
        <v>1635</v>
      </c>
      <c r="G15" s="8">
        <v>524</v>
      </c>
    </row>
    <row r="16" spans="1:10" x14ac:dyDescent="0.35">
      <c r="F16" s="5" t="s">
        <v>1644</v>
      </c>
      <c r="G16" s="8">
        <v>568</v>
      </c>
    </row>
    <row r="17" spans="1:7" ht="29" x14ac:dyDescent="0.35">
      <c r="F17" s="5" t="s">
        <v>1659</v>
      </c>
      <c r="G17" s="10">
        <v>8.4000000000000005E-2</v>
      </c>
    </row>
    <row r="18" spans="1:7" x14ac:dyDescent="0.35">
      <c r="A18" t="s">
        <v>1675</v>
      </c>
      <c r="B18" t="s">
        <v>1676</v>
      </c>
      <c r="F18" s="5" t="s">
        <v>1649</v>
      </c>
      <c r="G18" s="8">
        <v>31</v>
      </c>
    </row>
    <row r="19" spans="1:7" ht="29" x14ac:dyDescent="0.35">
      <c r="A19" s="19" t="s">
        <v>6</v>
      </c>
      <c r="B19" s="20">
        <v>37</v>
      </c>
      <c r="F19" s="5" t="s">
        <v>1660</v>
      </c>
      <c r="G19" s="8">
        <v>160</v>
      </c>
    </row>
    <row r="20" spans="1:7" ht="29" x14ac:dyDescent="0.35">
      <c r="A20" s="21" t="s">
        <v>1677</v>
      </c>
      <c r="B20" s="22">
        <v>23</v>
      </c>
      <c r="F20" s="5" t="s">
        <v>1661</v>
      </c>
      <c r="G20" s="8">
        <v>52</v>
      </c>
    </row>
    <row r="21" spans="1:7" ht="29" x14ac:dyDescent="0.35">
      <c r="A21" s="21" t="s">
        <v>1679</v>
      </c>
      <c r="B21" s="20">
        <v>13</v>
      </c>
      <c r="F21" s="5" t="s">
        <v>1662</v>
      </c>
      <c r="G21" s="10">
        <v>0.67500000000000004</v>
      </c>
    </row>
    <row r="22" spans="1:7" x14ac:dyDescent="0.35">
      <c r="A22" s="21" t="s">
        <v>1678</v>
      </c>
      <c r="B22" s="22">
        <v>8</v>
      </c>
      <c r="F22" s="5" t="s">
        <v>1682</v>
      </c>
      <c r="G22" s="8">
        <f>'Validation Tracker'!J9</f>
        <v>0</v>
      </c>
    </row>
    <row r="23" spans="1:7" x14ac:dyDescent="0.35">
      <c r="A23" s="19" t="s">
        <v>7</v>
      </c>
      <c r="B23" s="20">
        <v>6</v>
      </c>
      <c r="F23" s="5"/>
      <c r="G23" s="8"/>
    </row>
    <row r="24" spans="1:7" x14ac:dyDescent="0.35">
      <c r="A24" s="15" t="s">
        <v>1680</v>
      </c>
      <c r="B24" s="16">
        <v>6</v>
      </c>
      <c r="F24" s="5"/>
      <c r="G24" s="8"/>
    </row>
    <row r="25" spans="1:7" x14ac:dyDescent="0.35">
      <c r="F25" s="5"/>
      <c r="G25" s="8"/>
    </row>
    <row r="26" spans="1:7" x14ac:dyDescent="0.35">
      <c r="F26" s="5"/>
      <c r="G26" s="8"/>
    </row>
    <row r="27" spans="1:7" x14ac:dyDescent="0.35">
      <c r="A27" t="s">
        <v>1675</v>
      </c>
      <c r="B27" t="s">
        <v>1676</v>
      </c>
      <c r="F27" s="5"/>
      <c r="G27" s="8"/>
    </row>
    <row r="28" spans="1:7" x14ac:dyDescent="0.35">
      <c r="A28" t="str">
        <f>IF(Dashboard!$J$1="All",A19,IF(ROWS($A$28:A28)=1,Dashboard!$J$1,""))</f>
        <v>Stable / Active</v>
      </c>
      <c r="B28">
        <f>IF(A28="","",SUMIF($A$19:$A$24,A28,$B$19:$B$24))</f>
        <v>37</v>
      </c>
      <c r="F28" s="5"/>
      <c r="G28" s="8"/>
    </row>
    <row r="29" spans="1:7" x14ac:dyDescent="0.35">
      <c r="A29" t="str">
        <f>IF(Dashboard!$J$1="All",A20,IF(ROWS($A$28:A29)=1,Dashboard!$J$1,""))</f>
        <v>Still Churned</v>
      </c>
      <c r="B29">
        <f t="shared" ref="B29:B33" si="0">IF(A29="","",SUMIF($A$19:$A$24,A29,$B$19:$B$24))</f>
        <v>23</v>
      </c>
    </row>
    <row r="30" spans="1:7" x14ac:dyDescent="0.35">
      <c r="A30" t="str">
        <f>IF(Dashboard!$J$1="All",A21,IF(ROWS($A$28:A30)=1,Dashboard!$J$1,""))</f>
        <v>New Trial Accounts</v>
      </c>
      <c r="B30">
        <f t="shared" si="0"/>
        <v>13</v>
      </c>
    </row>
    <row r="31" spans="1:7" x14ac:dyDescent="0.35">
      <c r="A31" t="str">
        <f>IF(Dashboard!$J$1="All",A22,IF(ROWS($A$28:A31)=1,Dashboard!$J$1,""))</f>
        <v>Critical Decline</v>
      </c>
      <c r="B31">
        <f t="shared" si="0"/>
        <v>8</v>
      </c>
    </row>
    <row r="32" spans="1:7" x14ac:dyDescent="0.35">
      <c r="A32" t="str">
        <f>IF(Dashboard!$J$1="All",A23,IF(ROWS($A$28:A32)=1,Dashboard!$J$1,""))</f>
        <v>Recovered in Q3</v>
      </c>
      <c r="B32">
        <f t="shared" si="0"/>
        <v>6</v>
      </c>
    </row>
    <row r="33" spans="1:2" x14ac:dyDescent="0.35">
      <c r="A33" t="str">
        <f>IF(Dashboard!$J$1="All",A24,IF(ROWS($A$28:A33)=1,Dashboard!$J$1,""))</f>
        <v>Inactive / Other</v>
      </c>
      <c r="B33">
        <f t="shared" si="0"/>
        <v>6</v>
      </c>
    </row>
  </sheetData>
  <sortState xmlns:xlrd2="http://schemas.microsoft.com/office/spreadsheetml/2017/richdata2" ref="A20:B24">
    <sortCondition descending="1" ref="A19:A24"/>
  </sortState>
  <pageMargins left="0.7" right="0.7" top="0.75" bottom="0.75" header="0.3" footer="0.3"/>
  <pageSetup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7F1DA-DE17-4DB1-BD4C-D97EF5B7BCDA}">
  <dimension ref="A3:E98"/>
  <sheetViews>
    <sheetView workbookViewId="0">
      <selection activeCell="H13" sqref="H13"/>
    </sheetView>
  </sheetViews>
  <sheetFormatPr defaultRowHeight="14.5" x14ac:dyDescent="0.35"/>
  <cols>
    <col min="1" max="1" width="16.36328125" bestFit="1" customWidth="1"/>
    <col min="2" max="2" width="15.6328125" bestFit="1" customWidth="1"/>
    <col min="3" max="4" width="3.81640625" bestFit="1" customWidth="1"/>
    <col min="5" max="5" width="10.36328125" bestFit="1" customWidth="1"/>
  </cols>
  <sheetData>
    <row r="3" spans="1:5" x14ac:dyDescent="0.35">
      <c r="A3" s="1" t="s">
        <v>1632</v>
      </c>
      <c r="B3" s="1" t="s">
        <v>1631</v>
      </c>
    </row>
    <row r="4" spans="1:5" x14ac:dyDescent="0.35">
      <c r="A4" s="1" t="s">
        <v>1629</v>
      </c>
      <c r="B4" t="s">
        <v>2</v>
      </c>
      <c r="C4" t="s">
        <v>3</v>
      </c>
      <c r="D4" t="s">
        <v>4</v>
      </c>
      <c r="E4" t="s">
        <v>1630</v>
      </c>
    </row>
    <row r="5" spans="1:5" x14ac:dyDescent="0.35">
      <c r="A5" s="3" t="s">
        <v>1534</v>
      </c>
      <c r="B5">
        <v>8</v>
      </c>
      <c r="C5">
        <v>17</v>
      </c>
      <c r="D5">
        <v>14</v>
      </c>
      <c r="E5">
        <v>39</v>
      </c>
    </row>
    <row r="6" spans="1:5" x14ac:dyDescent="0.35">
      <c r="A6" s="3" t="s">
        <v>1535</v>
      </c>
      <c r="B6">
        <v>2</v>
      </c>
      <c r="E6">
        <v>2</v>
      </c>
    </row>
    <row r="7" spans="1:5" x14ac:dyDescent="0.35">
      <c r="A7" s="3" t="s">
        <v>1536</v>
      </c>
      <c r="B7">
        <v>2</v>
      </c>
      <c r="C7">
        <v>2</v>
      </c>
      <c r="D7">
        <v>4</v>
      </c>
      <c r="E7">
        <v>8</v>
      </c>
    </row>
    <row r="8" spans="1:5" x14ac:dyDescent="0.35">
      <c r="A8" s="3" t="s">
        <v>1537</v>
      </c>
      <c r="B8">
        <v>4</v>
      </c>
      <c r="E8">
        <v>4</v>
      </c>
    </row>
    <row r="9" spans="1:5" x14ac:dyDescent="0.35">
      <c r="A9" s="3" t="s">
        <v>1538</v>
      </c>
      <c r="B9">
        <v>54</v>
      </c>
      <c r="C9">
        <v>49</v>
      </c>
      <c r="D9">
        <v>71</v>
      </c>
      <c r="E9">
        <v>174</v>
      </c>
    </row>
    <row r="10" spans="1:5" x14ac:dyDescent="0.35">
      <c r="A10" s="3" t="s">
        <v>1539</v>
      </c>
      <c r="B10">
        <v>25</v>
      </c>
      <c r="C10">
        <v>17</v>
      </c>
      <c r="D10">
        <v>14</v>
      </c>
      <c r="E10">
        <v>56</v>
      </c>
    </row>
    <row r="11" spans="1:5" x14ac:dyDescent="0.35">
      <c r="A11" s="3" t="s">
        <v>1540</v>
      </c>
      <c r="B11">
        <v>45</v>
      </c>
      <c r="C11">
        <v>27</v>
      </c>
      <c r="D11">
        <v>69</v>
      </c>
      <c r="E11">
        <v>141</v>
      </c>
    </row>
    <row r="12" spans="1:5" x14ac:dyDescent="0.35">
      <c r="A12" s="3" t="s">
        <v>1541</v>
      </c>
      <c r="B12">
        <v>14</v>
      </c>
      <c r="C12">
        <v>3</v>
      </c>
      <c r="D12">
        <v>4</v>
      </c>
      <c r="E12">
        <v>21</v>
      </c>
    </row>
    <row r="13" spans="1:5" x14ac:dyDescent="0.35">
      <c r="A13" s="3" t="s">
        <v>1542</v>
      </c>
      <c r="B13">
        <v>37</v>
      </c>
      <c r="C13">
        <v>42</v>
      </c>
      <c r="D13">
        <v>71</v>
      </c>
      <c r="E13">
        <v>150</v>
      </c>
    </row>
    <row r="14" spans="1:5" x14ac:dyDescent="0.35">
      <c r="A14" s="3" t="s">
        <v>1543</v>
      </c>
      <c r="B14">
        <v>68</v>
      </c>
      <c r="C14">
        <v>12</v>
      </c>
      <c r="D14">
        <v>58</v>
      </c>
      <c r="E14">
        <v>138</v>
      </c>
    </row>
    <row r="15" spans="1:5" x14ac:dyDescent="0.35">
      <c r="A15" s="3" t="s">
        <v>1544</v>
      </c>
      <c r="B15">
        <v>1</v>
      </c>
      <c r="C15">
        <v>6</v>
      </c>
      <c r="D15">
        <v>13</v>
      </c>
      <c r="E15">
        <v>20</v>
      </c>
    </row>
    <row r="16" spans="1:5" x14ac:dyDescent="0.35">
      <c r="A16" s="3" t="s">
        <v>1545</v>
      </c>
      <c r="B16">
        <v>15</v>
      </c>
      <c r="C16">
        <v>12</v>
      </c>
      <c r="D16">
        <v>4</v>
      </c>
      <c r="E16">
        <v>31</v>
      </c>
    </row>
    <row r="17" spans="1:5" x14ac:dyDescent="0.35">
      <c r="A17" s="3" t="s">
        <v>1546</v>
      </c>
      <c r="B17">
        <v>4</v>
      </c>
      <c r="C17">
        <v>1</v>
      </c>
      <c r="D17">
        <v>2</v>
      </c>
      <c r="E17">
        <v>7</v>
      </c>
    </row>
    <row r="18" spans="1:5" x14ac:dyDescent="0.35">
      <c r="A18" s="3" t="s">
        <v>1547</v>
      </c>
      <c r="B18">
        <v>7</v>
      </c>
      <c r="C18">
        <v>8</v>
      </c>
      <c r="D18">
        <v>6</v>
      </c>
      <c r="E18">
        <v>21</v>
      </c>
    </row>
    <row r="19" spans="1:5" x14ac:dyDescent="0.35">
      <c r="A19" s="3" t="s">
        <v>1548</v>
      </c>
      <c r="B19">
        <v>12</v>
      </c>
      <c r="C19">
        <v>2</v>
      </c>
      <c r="D19">
        <v>3</v>
      </c>
      <c r="E19">
        <v>17</v>
      </c>
    </row>
    <row r="20" spans="1:5" x14ac:dyDescent="0.35">
      <c r="A20" s="3" t="s">
        <v>1549</v>
      </c>
      <c r="B20">
        <v>1</v>
      </c>
      <c r="E20">
        <v>1</v>
      </c>
    </row>
    <row r="21" spans="1:5" x14ac:dyDescent="0.35">
      <c r="A21" s="3" t="s">
        <v>1550</v>
      </c>
      <c r="B21">
        <v>27</v>
      </c>
      <c r="C21">
        <v>11</v>
      </c>
      <c r="D21">
        <v>16</v>
      </c>
      <c r="E21">
        <v>54</v>
      </c>
    </row>
    <row r="22" spans="1:5" x14ac:dyDescent="0.35">
      <c r="A22" s="3" t="s">
        <v>1551</v>
      </c>
      <c r="B22">
        <v>17</v>
      </c>
      <c r="C22">
        <v>12</v>
      </c>
      <c r="D22">
        <v>20</v>
      </c>
      <c r="E22">
        <v>49</v>
      </c>
    </row>
    <row r="23" spans="1:5" x14ac:dyDescent="0.35">
      <c r="A23" s="3" t="s">
        <v>1552</v>
      </c>
      <c r="B23">
        <v>1</v>
      </c>
      <c r="C23">
        <v>1</v>
      </c>
      <c r="E23">
        <v>2</v>
      </c>
    </row>
    <row r="24" spans="1:5" x14ac:dyDescent="0.35">
      <c r="A24" s="3" t="s">
        <v>1553</v>
      </c>
      <c r="B24">
        <v>10</v>
      </c>
      <c r="C24">
        <v>9</v>
      </c>
      <c r="D24">
        <v>15</v>
      </c>
      <c r="E24">
        <v>34</v>
      </c>
    </row>
    <row r="25" spans="1:5" x14ac:dyDescent="0.35">
      <c r="A25" s="3" t="s">
        <v>1554</v>
      </c>
      <c r="B25">
        <v>8</v>
      </c>
      <c r="D25">
        <v>4</v>
      </c>
      <c r="E25">
        <v>12</v>
      </c>
    </row>
    <row r="26" spans="1:5" x14ac:dyDescent="0.35">
      <c r="A26" s="3" t="s">
        <v>1555</v>
      </c>
      <c r="B26">
        <v>3</v>
      </c>
      <c r="C26">
        <v>2</v>
      </c>
      <c r="D26">
        <v>4</v>
      </c>
      <c r="E26">
        <v>9</v>
      </c>
    </row>
    <row r="27" spans="1:5" x14ac:dyDescent="0.35">
      <c r="A27" s="3" t="s">
        <v>1556</v>
      </c>
      <c r="B27">
        <v>13</v>
      </c>
      <c r="C27">
        <v>4</v>
      </c>
      <c r="D27">
        <v>13</v>
      </c>
      <c r="E27">
        <v>30</v>
      </c>
    </row>
    <row r="28" spans="1:5" x14ac:dyDescent="0.35">
      <c r="A28" s="3" t="s">
        <v>1557</v>
      </c>
      <c r="B28">
        <v>7</v>
      </c>
      <c r="C28">
        <v>2</v>
      </c>
      <c r="D28">
        <v>6</v>
      </c>
      <c r="E28">
        <v>15</v>
      </c>
    </row>
    <row r="29" spans="1:5" x14ac:dyDescent="0.35">
      <c r="A29" s="3" t="s">
        <v>1558</v>
      </c>
      <c r="B29">
        <v>50</v>
      </c>
      <c r="C29">
        <v>26</v>
      </c>
      <c r="D29">
        <v>44</v>
      </c>
      <c r="E29">
        <v>120</v>
      </c>
    </row>
    <row r="30" spans="1:5" x14ac:dyDescent="0.35">
      <c r="A30" s="3" t="s">
        <v>1559</v>
      </c>
      <c r="B30">
        <v>1</v>
      </c>
      <c r="D30">
        <v>1</v>
      </c>
      <c r="E30">
        <v>2</v>
      </c>
    </row>
    <row r="31" spans="1:5" x14ac:dyDescent="0.35">
      <c r="A31" s="3" t="s">
        <v>1560</v>
      </c>
      <c r="B31">
        <v>4</v>
      </c>
      <c r="C31">
        <v>5</v>
      </c>
      <c r="E31">
        <v>9</v>
      </c>
    </row>
    <row r="32" spans="1:5" x14ac:dyDescent="0.35">
      <c r="A32" s="3" t="s">
        <v>1561</v>
      </c>
      <c r="B32">
        <v>2</v>
      </c>
      <c r="C32">
        <v>1</v>
      </c>
      <c r="D32">
        <v>4</v>
      </c>
      <c r="E32">
        <v>7</v>
      </c>
    </row>
    <row r="33" spans="1:5" x14ac:dyDescent="0.35">
      <c r="A33" s="3" t="s">
        <v>1562</v>
      </c>
      <c r="B33">
        <v>13</v>
      </c>
      <c r="C33">
        <v>5</v>
      </c>
      <c r="D33">
        <v>7</v>
      </c>
      <c r="E33">
        <v>25</v>
      </c>
    </row>
    <row r="34" spans="1:5" x14ac:dyDescent="0.35">
      <c r="A34" s="3" t="s">
        <v>1563</v>
      </c>
      <c r="B34">
        <v>3</v>
      </c>
      <c r="C34">
        <v>1</v>
      </c>
      <c r="D34">
        <v>6</v>
      </c>
      <c r="E34">
        <v>10</v>
      </c>
    </row>
    <row r="35" spans="1:5" x14ac:dyDescent="0.35">
      <c r="A35" s="3" t="s">
        <v>1564</v>
      </c>
      <c r="B35">
        <v>1</v>
      </c>
      <c r="C35">
        <v>1</v>
      </c>
      <c r="E35">
        <v>2</v>
      </c>
    </row>
    <row r="36" spans="1:5" x14ac:dyDescent="0.35">
      <c r="A36" s="3" t="s">
        <v>1565</v>
      </c>
      <c r="B36">
        <v>2</v>
      </c>
      <c r="C36">
        <v>1</v>
      </c>
      <c r="D36">
        <v>2</v>
      </c>
      <c r="E36">
        <v>5</v>
      </c>
    </row>
    <row r="37" spans="1:5" x14ac:dyDescent="0.35">
      <c r="A37" s="3" t="s">
        <v>1566</v>
      </c>
      <c r="B37">
        <v>3</v>
      </c>
      <c r="E37">
        <v>3</v>
      </c>
    </row>
    <row r="38" spans="1:5" x14ac:dyDescent="0.35">
      <c r="A38" s="3" t="s">
        <v>1567</v>
      </c>
      <c r="B38">
        <v>3</v>
      </c>
      <c r="E38">
        <v>3</v>
      </c>
    </row>
    <row r="39" spans="1:5" x14ac:dyDescent="0.35">
      <c r="A39" s="3" t="s">
        <v>1568</v>
      </c>
      <c r="B39">
        <v>5</v>
      </c>
      <c r="C39">
        <v>3</v>
      </c>
      <c r="D39">
        <v>7</v>
      </c>
      <c r="E39">
        <v>15</v>
      </c>
    </row>
    <row r="40" spans="1:5" x14ac:dyDescent="0.35">
      <c r="A40" s="3" t="s">
        <v>1569</v>
      </c>
      <c r="B40">
        <v>1</v>
      </c>
      <c r="C40">
        <v>5</v>
      </c>
      <c r="D40">
        <v>1</v>
      </c>
      <c r="E40">
        <v>7</v>
      </c>
    </row>
    <row r="41" spans="1:5" x14ac:dyDescent="0.35">
      <c r="A41" s="3" t="s">
        <v>1570</v>
      </c>
      <c r="B41">
        <v>3</v>
      </c>
      <c r="D41">
        <v>2</v>
      </c>
      <c r="E41">
        <v>5</v>
      </c>
    </row>
    <row r="42" spans="1:5" x14ac:dyDescent="0.35">
      <c r="A42" s="3" t="s">
        <v>1571</v>
      </c>
      <c r="B42">
        <v>1</v>
      </c>
      <c r="E42">
        <v>1</v>
      </c>
    </row>
    <row r="43" spans="1:5" x14ac:dyDescent="0.35">
      <c r="A43" s="3" t="s">
        <v>1572</v>
      </c>
      <c r="B43">
        <v>2</v>
      </c>
      <c r="D43">
        <v>2</v>
      </c>
      <c r="E43">
        <v>4</v>
      </c>
    </row>
    <row r="44" spans="1:5" x14ac:dyDescent="0.35">
      <c r="A44" s="3" t="s">
        <v>1573</v>
      </c>
      <c r="B44">
        <v>1</v>
      </c>
      <c r="E44">
        <v>1</v>
      </c>
    </row>
    <row r="45" spans="1:5" x14ac:dyDescent="0.35">
      <c r="A45" s="3" t="s">
        <v>1574</v>
      </c>
      <c r="B45">
        <v>5</v>
      </c>
      <c r="C45">
        <v>2</v>
      </c>
      <c r="D45">
        <v>2</v>
      </c>
      <c r="E45">
        <v>9</v>
      </c>
    </row>
    <row r="46" spans="1:5" x14ac:dyDescent="0.35">
      <c r="A46" s="3" t="s">
        <v>1575</v>
      </c>
      <c r="B46">
        <v>1</v>
      </c>
      <c r="E46">
        <v>1</v>
      </c>
    </row>
    <row r="47" spans="1:5" x14ac:dyDescent="0.35">
      <c r="A47" s="3" t="s">
        <v>1576</v>
      </c>
      <c r="B47">
        <v>8</v>
      </c>
      <c r="C47">
        <v>7</v>
      </c>
      <c r="D47">
        <v>10</v>
      </c>
      <c r="E47">
        <v>25</v>
      </c>
    </row>
    <row r="48" spans="1:5" x14ac:dyDescent="0.35">
      <c r="A48" s="3" t="s">
        <v>1577</v>
      </c>
      <c r="B48">
        <v>1</v>
      </c>
      <c r="E48">
        <v>1</v>
      </c>
    </row>
    <row r="49" spans="1:5" x14ac:dyDescent="0.35">
      <c r="A49" s="3" t="s">
        <v>1578</v>
      </c>
      <c r="B49">
        <v>3</v>
      </c>
      <c r="E49">
        <v>3</v>
      </c>
    </row>
    <row r="50" spans="1:5" x14ac:dyDescent="0.35">
      <c r="A50" s="3" t="s">
        <v>1579</v>
      </c>
      <c r="B50">
        <v>1</v>
      </c>
      <c r="D50">
        <v>1</v>
      </c>
      <c r="E50">
        <v>2</v>
      </c>
    </row>
    <row r="51" spans="1:5" x14ac:dyDescent="0.35">
      <c r="A51" s="3" t="s">
        <v>1580</v>
      </c>
      <c r="B51">
        <v>2</v>
      </c>
      <c r="C51">
        <v>3</v>
      </c>
      <c r="E51">
        <v>5</v>
      </c>
    </row>
    <row r="52" spans="1:5" x14ac:dyDescent="0.35">
      <c r="A52" s="3" t="s">
        <v>1581</v>
      </c>
      <c r="B52">
        <v>2</v>
      </c>
      <c r="C52">
        <v>1</v>
      </c>
      <c r="E52">
        <v>3</v>
      </c>
    </row>
    <row r="53" spans="1:5" x14ac:dyDescent="0.35">
      <c r="A53" s="3" t="s">
        <v>1582</v>
      </c>
      <c r="B53">
        <v>5</v>
      </c>
      <c r="E53">
        <v>5</v>
      </c>
    </row>
    <row r="54" spans="1:5" x14ac:dyDescent="0.35">
      <c r="A54" s="3" t="s">
        <v>1583</v>
      </c>
      <c r="B54">
        <v>1</v>
      </c>
      <c r="C54">
        <v>3</v>
      </c>
      <c r="D54">
        <v>3</v>
      </c>
      <c r="E54">
        <v>7</v>
      </c>
    </row>
    <row r="55" spans="1:5" x14ac:dyDescent="0.35">
      <c r="A55" s="3" t="s">
        <v>1584</v>
      </c>
      <c r="B55">
        <v>1</v>
      </c>
      <c r="C55">
        <v>2</v>
      </c>
      <c r="D55">
        <v>2</v>
      </c>
      <c r="E55">
        <v>5</v>
      </c>
    </row>
    <row r="56" spans="1:5" x14ac:dyDescent="0.35">
      <c r="A56" s="3" t="s">
        <v>1585</v>
      </c>
      <c r="B56">
        <v>1</v>
      </c>
      <c r="C56">
        <v>1</v>
      </c>
      <c r="E56">
        <v>2</v>
      </c>
    </row>
    <row r="57" spans="1:5" x14ac:dyDescent="0.35">
      <c r="A57" s="3" t="s">
        <v>1586</v>
      </c>
      <c r="B57">
        <v>1</v>
      </c>
      <c r="E57">
        <v>1</v>
      </c>
    </row>
    <row r="58" spans="1:5" x14ac:dyDescent="0.35">
      <c r="A58" s="3" t="s">
        <v>1587</v>
      </c>
      <c r="B58">
        <v>2</v>
      </c>
      <c r="C58">
        <v>2</v>
      </c>
      <c r="D58">
        <v>5</v>
      </c>
      <c r="E58">
        <v>9</v>
      </c>
    </row>
    <row r="59" spans="1:5" x14ac:dyDescent="0.35">
      <c r="A59" s="3" t="s">
        <v>1588</v>
      </c>
      <c r="B59">
        <v>2</v>
      </c>
      <c r="E59">
        <v>2</v>
      </c>
    </row>
    <row r="60" spans="1:5" x14ac:dyDescent="0.35">
      <c r="A60" s="3" t="s">
        <v>1589</v>
      </c>
      <c r="B60">
        <v>1</v>
      </c>
      <c r="C60">
        <v>1</v>
      </c>
      <c r="E60">
        <v>2</v>
      </c>
    </row>
    <row r="61" spans="1:5" x14ac:dyDescent="0.35">
      <c r="A61" s="3" t="s">
        <v>1590</v>
      </c>
      <c r="B61">
        <v>1</v>
      </c>
      <c r="D61">
        <v>1</v>
      </c>
      <c r="E61">
        <v>2</v>
      </c>
    </row>
    <row r="62" spans="1:5" x14ac:dyDescent="0.35">
      <c r="A62" s="3" t="s">
        <v>1591</v>
      </c>
      <c r="B62">
        <v>1</v>
      </c>
      <c r="C62">
        <v>2</v>
      </c>
      <c r="E62">
        <v>3</v>
      </c>
    </row>
    <row r="63" spans="1:5" x14ac:dyDescent="0.35">
      <c r="A63" s="3" t="s">
        <v>1592</v>
      </c>
      <c r="B63">
        <v>2</v>
      </c>
      <c r="C63">
        <v>1</v>
      </c>
      <c r="E63">
        <v>3</v>
      </c>
    </row>
    <row r="64" spans="1:5" x14ac:dyDescent="0.35">
      <c r="A64" s="3" t="s">
        <v>1593</v>
      </c>
      <c r="B64">
        <v>2</v>
      </c>
      <c r="E64">
        <v>2</v>
      </c>
    </row>
    <row r="65" spans="1:5" x14ac:dyDescent="0.35">
      <c r="A65" s="3" t="s">
        <v>1594</v>
      </c>
      <c r="B65">
        <v>1</v>
      </c>
      <c r="C65">
        <v>5</v>
      </c>
      <c r="D65">
        <v>14</v>
      </c>
      <c r="E65">
        <v>20</v>
      </c>
    </row>
    <row r="66" spans="1:5" x14ac:dyDescent="0.35">
      <c r="A66" s="3" t="s">
        <v>1595</v>
      </c>
      <c r="C66">
        <v>3</v>
      </c>
      <c r="E66">
        <v>3</v>
      </c>
    </row>
    <row r="67" spans="1:5" x14ac:dyDescent="0.35">
      <c r="A67" s="3" t="s">
        <v>1596</v>
      </c>
      <c r="C67">
        <v>1</v>
      </c>
      <c r="D67">
        <v>1</v>
      </c>
      <c r="E67">
        <v>2</v>
      </c>
    </row>
    <row r="68" spans="1:5" x14ac:dyDescent="0.35">
      <c r="A68" s="3" t="s">
        <v>1597</v>
      </c>
      <c r="C68">
        <v>1</v>
      </c>
      <c r="E68">
        <v>1</v>
      </c>
    </row>
    <row r="69" spans="1:5" x14ac:dyDescent="0.35">
      <c r="A69" s="3" t="s">
        <v>1598</v>
      </c>
      <c r="C69">
        <v>2</v>
      </c>
      <c r="D69">
        <v>1</v>
      </c>
      <c r="E69">
        <v>3</v>
      </c>
    </row>
    <row r="70" spans="1:5" x14ac:dyDescent="0.35">
      <c r="A70" s="3" t="s">
        <v>1599</v>
      </c>
      <c r="C70">
        <v>1</v>
      </c>
      <c r="D70">
        <v>2</v>
      </c>
      <c r="E70">
        <v>3</v>
      </c>
    </row>
    <row r="71" spans="1:5" x14ac:dyDescent="0.35">
      <c r="A71" s="3" t="s">
        <v>1600</v>
      </c>
      <c r="C71">
        <v>1</v>
      </c>
      <c r="D71">
        <v>1</v>
      </c>
      <c r="E71">
        <v>2</v>
      </c>
    </row>
    <row r="72" spans="1:5" x14ac:dyDescent="0.35">
      <c r="A72" s="3" t="s">
        <v>1601</v>
      </c>
      <c r="C72">
        <v>1</v>
      </c>
      <c r="E72">
        <v>1</v>
      </c>
    </row>
    <row r="73" spans="1:5" x14ac:dyDescent="0.35">
      <c r="A73" s="3" t="s">
        <v>1602</v>
      </c>
      <c r="C73">
        <v>2</v>
      </c>
      <c r="E73">
        <v>2</v>
      </c>
    </row>
    <row r="74" spans="1:5" x14ac:dyDescent="0.35">
      <c r="A74" s="3" t="s">
        <v>1603</v>
      </c>
      <c r="C74">
        <v>4</v>
      </c>
      <c r="D74">
        <v>3</v>
      </c>
      <c r="E74">
        <v>7</v>
      </c>
    </row>
    <row r="75" spans="1:5" x14ac:dyDescent="0.35">
      <c r="A75" s="3" t="s">
        <v>1604</v>
      </c>
      <c r="C75">
        <v>1</v>
      </c>
      <c r="D75">
        <v>3</v>
      </c>
      <c r="E75">
        <v>4</v>
      </c>
    </row>
    <row r="76" spans="1:5" x14ac:dyDescent="0.35">
      <c r="A76" s="3" t="s">
        <v>1605</v>
      </c>
      <c r="C76">
        <v>1</v>
      </c>
      <c r="D76">
        <v>1</v>
      </c>
      <c r="E76">
        <v>2</v>
      </c>
    </row>
    <row r="77" spans="1:5" x14ac:dyDescent="0.35">
      <c r="A77" s="3" t="s">
        <v>1606</v>
      </c>
      <c r="C77">
        <v>1</v>
      </c>
      <c r="E77">
        <v>1</v>
      </c>
    </row>
    <row r="78" spans="1:5" x14ac:dyDescent="0.35">
      <c r="A78" s="3" t="s">
        <v>1607</v>
      </c>
      <c r="C78">
        <v>1</v>
      </c>
      <c r="D78">
        <v>1</v>
      </c>
      <c r="E78">
        <v>2</v>
      </c>
    </row>
    <row r="79" spans="1:5" x14ac:dyDescent="0.35">
      <c r="A79" s="3" t="s">
        <v>1608</v>
      </c>
      <c r="C79">
        <v>1</v>
      </c>
      <c r="D79">
        <v>2</v>
      </c>
      <c r="E79">
        <v>3</v>
      </c>
    </row>
    <row r="80" spans="1:5" x14ac:dyDescent="0.35">
      <c r="A80" s="3" t="s">
        <v>1609</v>
      </c>
      <c r="C80">
        <v>1</v>
      </c>
      <c r="E80">
        <v>1</v>
      </c>
    </row>
    <row r="81" spans="1:5" x14ac:dyDescent="0.35">
      <c r="A81" s="3" t="s">
        <v>1610</v>
      </c>
      <c r="D81">
        <v>3</v>
      </c>
      <c r="E81">
        <v>3</v>
      </c>
    </row>
    <row r="82" spans="1:5" x14ac:dyDescent="0.35">
      <c r="A82" s="3" t="s">
        <v>1611</v>
      </c>
      <c r="D82">
        <v>1</v>
      </c>
      <c r="E82">
        <v>1</v>
      </c>
    </row>
    <row r="83" spans="1:5" x14ac:dyDescent="0.35">
      <c r="A83" s="3" t="s">
        <v>1612</v>
      </c>
      <c r="D83">
        <v>1</v>
      </c>
      <c r="E83">
        <v>1</v>
      </c>
    </row>
    <row r="84" spans="1:5" x14ac:dyDescent="0.35">
      <c r="A84" s="3" t="s">
        <v>1613</v>
      </c>
      <c r="D84">
        <v>3</v>
      </c>
      <c r="E84">
        <v>3</v>
      </c>
    </row>
    <row r="85" spans="1:5" x14ac:dyDescent="0.35">
      <c r="A85" s="3" t="s">
        <v>1614</v>
      </c>
      <c r="D85">
        <v>3</v>
      </c>
      <c r="E85">
        <v>3</v>
      </c>
    </row>
    <row r="86" spans="1:5" x14ac:dyDescent="0.35">
      <c r="A86" s="3" t="s">
        <v>1615</v>
      </c>
      <c r="D86">
        <v>1</v>
      </c>
      <c r="E86">
        <v>1</v>
      </c>
    </row>
    <row r="87" spans="1:5" x14ac:dyDescent="0.35">
      <c r="A87" s="3" t="s">
        <v>1616</v>
      </c>
      <c r="D87">
        <v>3</v>
      </c>
      <c r="E87">
        <v>3</v>
      </c>
    </row>
    <row r="88" spans="1:5" x14ac:dyDescent="0.35">
      <c r="A88" s="3" t="s">
        <v>1617</v>
      </c>
      <c r="D88">
        <v>1</v>
      </c>
      <c r="E88">
        <v>1</v>
      </c>
    </row>
    <row r="89" spans="1:5" x14ac:dyDescent="0.35">
      <c r="A89" s="3" t="s">
        <v>1618</v>
      </c>
      <c r="D89">
        <v>2</v>
      </c>
      <c r="E89">
        <v>2</v>
      </c>
    </row>
    <row r="90" spans="1:5" x14ac:dyDescent="0.35">
      <c r="A90" s="3" t="s">
        <v>1619</v>
      </c>
      <c r="D90">
        <v>2</v>
      </c>
      <c r="E90">
        <v>2</v>
      </c>
    </row>
    <row r="91" spans="1:5" x14ac:dyDescent="0.35">
      <c r="A91" s="3" t="s">
        <v>1620</v>
      </c>
      <c r="D91">
        <v>1</v>
      </c>
      <c r="E91">
        <v>1</v>
      </c>
    </row>
    <row r="92" spans="1:5" x14ac:dyDescent="0.35">
      <c r="A92" s="3" t="s">
        <v>1621</v>
      </c>
      <c r="D92">
        <v>2</v>
      </c>
      <c r="E92">
        <v>2</v>
      </c>
    </row>
    <row r="93" spans="1:5" x14ac:dyDescent="0.35">
      <c r="A93" s="3" t="s">
        <v>1622</v>
      </c>
      <c r="D93">
        <v>1</v>
      </c>
      <c r="E93">
        <v>1</v>
      </c>
    </row>
    <row r="94" spans="1:5" x14ac:dyDescent="0.35">
      <c r="A94" s="3" t="s">
        <v>1623</v>
      </c>
      <c r="D94">
        <v>1</v>
      </c>
      <c r="E94">
        <v>1</v>
      </c>
    </row>
    <row r="95" spans="1:5" x14ac:dyDescent="0.35">
      <c r="A95" s="3" t="s">
        <v>1624</v>
      </c>
      <c r="D95">
        <v>1</v>
      </c>
      <c r="E95">
        <v>1</v>
      </c>
    </row>
    <row r="96" spans="1:5" x14ac:dyDescent="0.35">
      <c r="A96" s="3" t="s">
        <v>1625</v>
      </c>
      <c r="D96">
        <v>1</v>
      </c>
      <c r="E96">
        <v>1</v>
      </c>
    </row>
    <row r="97" spans="1:5" x14ac:dyDescent="0.35">
      <c r="A97" s="3" t="s">
        <v>1626</v>
      </c>
      <c r="D97">
        <v>1</v>
      </c>
      <c r="E97">
        <v>1</v>
      </c>
    </row>
    <row r="98" spans="1:5" x14ac:dyDescent="0.35">
      <c r="A98" s="3" t="s">
        <v>1630</v>
      </c>
      <c r="B98">
        <v>524</v>
      </c>
      <c r="C98">
        <v>339</v>
      </c>
      <c r="D98">
        <v>568</v>
      </c>
      <c r="E98">
        <v>1431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F462C-1152-4AF3-89DA-C07201C3542A}">
  <dimension ref="A1:M95"/>
  <sheetViews>
    <sheetView workbookViewId="0">
      <selection activeCell="I5" sqref="I5"/>
    </sheetView>
  </sheetViews>
  <sheetFormatPr defaultRowHeight="14.5" x14ac:dyDescent="0.35"/>
  <cols>
    <col min="1" max="1" width="16" bestFit="1" customWidth="1"/>
    <col min="5" max="5" width="19.08984375" bestFit="1" customWidth="1"/>
    <col min="6" max="6" width="21.26953125" customWidth="1"/>
    <col min="7" max="7" width="14.90625" bestFit="1" customWidth="1"/>
    <col min="9" max="9" width="17" customWidth="1"/>
    <col min="10" max="10" width="13.1796875" customWidth="1"/>
    <col min="11" max="11" width="6.54296875" customWidth="1"/>
    <col min="12" max="12" width="19.81640625" customWidth="1"/>
    <col min="13" max="13" width="10.90625" customWidth="1"/>
  </cols>
  <sheetData>
    <row r="1" spans="1:13" x14ac:dyDescent="0.35">
      <c r="A1" t="s">
        <v>1632</v>
      </c>
      <c r="B1" t="s">
        <v>1631</v>
      </c>
    </row>
    <row r="2" spans="1:13" x14ac:dyDescent="0.35">
      <c r="A2" t="s">
        <v>1634</v>
      </c>
      <c r="B2" t="s">
        <v>2</v>
      </c>
      <c r="C2" t="s">
        <v>3</v>
      </c>
      <c r="D2" t="s">
        <v>4</v>
      </c>
      <c r="E2" t="s">
        <v>5</v>
      </c>
      <c r="F2" t="s">
        <v>1633</v>
      </c>
      <c r="G2" t="s">
        <v>8</v>
      </c>
    </row>
    <row r="3" spans="1:13" x14ac:dyDescent="0.35">
      <c r="A3" t="s">
        <v>1535</v>
      </c>
      <c r="B3">
        <v>2</v>
      </c>
      <c r="E3">
        <f t="shared" ref="E3:E34" si="0">B3</f>
        <v>2</v>
      </c>
      <c r="F3" t="str">
        <f t="shared" ref="F3:F34" si="1">IF(AND(B3&gt;0,D3=0),"STILL CHURNED",
IF(AND(B3&gt;0,C3=0,D3&gt;0),"Recovered in Q3",
IF(AND(B3&gt;0,D3&gt;0,IFERROR((D3-B3)/B3,0)&lt;=-0.4),"CRITICAL DECLINE",
IF(AND(B3=0,C3=0,D3&gt;0,D3&lt;=2),"New Trial Account",
IF(AND(B3=0,D3=0),"Inactive / One-Off",
"Stable / Active")))))</f>
        <v>STILL CHURNED</v>
      </c>
      <c r="G3" s="2">
        <f>IFERROR((D3-B3)/B3,0)</f>
        <v>-1</v>
      </c>
    </row>
    <row r="4" spans="1:13" x14ac:dyDescent="0.35">
      <c r="A4" t="s">
        <v>1537</v>
      </c>
      <c r="B4">
        <v>4</v>
      </c>
      <c r="E4">
        <f t="shared" si="0"/>
        <v>4</v>
      </c>
      <c r="F4" t="str">
        <f t="shared" si="1"/>
        <v>STILL CHURNED</v>
      </c>
      <c r="G4" s="2">
        <f t="shared" ref="G4:G34" si="2">IFERROR((D4-B4)/B4,0)</f>
        <v>-1</v>
      </c>
      <c r="I4" t="s">
        <v>1687</v>
      </c>
      <c r="J4">
        <f>SUM(C3:C95)</f>
        <v>339</v>
      </c>
    </row>
    <row r="5" spans="1:13" x14ac:dyDescent="0.35">
      <c r="A5" t="s">
        <v>1549</v>
      </c>
      <c r="B5">
        <v>1</v>
      </c>
      <c r="E5">
        <f t="shared" si="0"/>
        <v>1</v>
      </c>
      <c r="F5" t="str">
        <f t="shared" si="1"/>
        <v>STILL CHURNED</v>
      </c>
      <c r="G5" s="2">
        <f t="shared" si="2"/>
        <v>-1</v>
      </c>
    </row>
    <row r="6" spans="1:13" x14ac:dyDescent="0.35">
      <c r="A6" t="s">
        <v>1552</v>
      </c>
      <c r="B6">
        <v>1</v>
      </c>
      <c r="C6">
        <v>1</v>
      </c>
      <c r="E6">
        <f t="shared" si="0"/>
        <v>1</v>
      </c>
      <c r="F6" t="str">
        <f t="shared" si="1"/>
        <v>STILL CHURNED</v>
      </c>
      <c r="G6" s="2">
        <f t="shared" si="2"/>
        <v>-1</v>
      </c>
      <c r="M6" s="2"/>
    </row>
    <row r="7" spans="1:13" x14ac:dyDescent="0.35">
      <c r="A7" t="s">
        <v>1560</v>
      </c>
      <c r="B7">
        <v>4</v>
      </c>
      <c r="C7">
        <v>5</v>
      </c>
      <c r="E7">
        <f t="shared" si="0"/>
        <v>4</v>
      </c>
      <c r="F7" t="str">
        <f t="shared" si="1"/>
        <v>STILL CHURNED</v>
      </c>
      <c r="G7" s="2">
        <f t="shared" si="2"/>
        <v>-1</v>
      </c>
    </row>
    <row r="8" spans="1:13" x14ac:dyDescent="0.35">
      <c r="A8" t="s">
        <v>1564</v>
      </c>
      <c r="B8">
        <v>1</v>
      </c>
      <c r="C8">
        <v>1</v>
      </c>
      <c r="E8">
        <f t="shared" si="0"/>
        <v>1</v>
      </c>
      <c r="F8" t="str">
        <f t="shared" si="1"/>
        <v>STILL CHURNED</v>
      </c>
      <c r="G8" s="2">
        <f t="shared" si="2"/>
        <v>-1</v>
      </c>
    </row>
    <row r="9" spans="1:13" x14ac:dyDescent="0.35">
      <c r="A9" t="s">
        <v>1566</v>
      </c>
      <c r="B9">
        <v>3</v>
      </c>
      <c r="E9">
        <f t="shared" si="0"/>
        <v>3</v>
      </c>
      <c r="F9" t="str">
        <f t="shared" si="1"/>
        <v>STILL CHURNED</v>
      </c>
      <c r="G9" s="2">
        <f t="shared" si="2"/>
        <v>-1</v>
      </c>
    </row>
    <row r="10" spans="1:13" x14ac:dyDescent="0.35">
      <c r="A10" t="s">
        <v>1567</v>
      </c>
      <c r="B10">
        <v>3</v>
      </c>
      <c r="E10">
        <f t="shared" si="0"/>
        <v>3</v>
      </c>
      <c r="F10" t="str">
        <f t="shared" si="1"/>
        <v>STILL CHURNED</v>
      </c>
      <c r="G10" s="2">
        <f t="shared" si="2"/>
        <v>-1</v>
      </c>
    </row>
    <row r="11" spans="1:13" x14ac:dyDescent="0.35">
      <c r="A11" t="s">
        <v>1571</v>
      </c>
      <c r="B11">
        <v>1</v>
      </c>
      <c r="E11">
        <f t="shared" si="0"/>
        <v>1</v>
      </c>
      <c r="F11" t="str">
        <f t="shared" si="1"/>
        <v>STILL CHURNED</v>
      </c>
      <c r="G11" s="2">
        <f t="shared" si="2"/>
        <v>-1</v>
      </c>
    </row>
    <row r="12" spans="1:13" x14ac:dyDescent="0.35">
      <c r="A12" t="s">
        <v>1573</v>
      </c>
      <c r="B12">
        <v>1</v>
      </c>
      <c r="E12">
        <f t="shared" si="0"/>
        <v>1</v>
      </c>
      <c r="F12" t="str">
        <f t="shared" si="1"/>
        <v>STILL CHURNED</v>
      </c>
      <c r="G12" s="2">
        <f t="shared" si="2"/>
        <v>-1</v>
      </c>
    </row>
    <row r="13" spans="1:13" x14ac:dyDescent="0.35">
      <c r="A13" t="s">
        <v>1575</v>
      </c>
      <c r="B13">
        <v>1</v>
      </c>
      <c r="E13">
        <f t="shared" si="0"/>
        <v>1</v>
      </c>
      <c r="F13" t="str">
        <f t="shared" si="1"/>
        <v>STILL CHURNED</v>
      </c>
      <c r="G13" s="2">
        <f t="shared" si="2"/>
        <v>-1</v>
      </c>
    </row>
    <row r="14" spans="1:13" x14ac:dyDescent="0.35">
      <c r="A14" t="s">
        <v>1577</v>
      </c>
      <c r="B14">
        <v>1</v>
      </c>
      <c r="E14">
        <f t="shared" si="0"/>
        <v>1</v>
      </c>
      <c r="F14" t="str">
        <f t="shared" si="1"/>
        <v>STILL CHURNED</v>
      </c>
      <c r="G14" s="2">
        <f t="shared" si="2"/>
        <v>-1</v>
      </c>
    </row>
    <row r="15" spans="1:13" x14ac:dyDescent="0.35">
      <c r="A15" t="s">
        <v>1578</v>
      </c>
      <c r="B15">
        <v>3</v>
      </c>
      <c r="E15">
        <f t="shared" si="0"/>
        <v>3</v>
      </c>
      <c r="F15" t="str">
        <f t="shared" si="1"/>
        <v>STILL CHURNED</v>
      </c>
      <c r="G15" s="2">
        <f t="shared" si="2"/>
        <v>-1</v>
      </c>
    </row>
    <row r="16" spans="1:13" x14ac:dyDescent="0.35">
      <c r="A16" t="s">
        <v>1580</v>
      </c>
      <c r="B16">
        <v>2</v>
      </c>
      <c r="C16">
        <v>3</v>
      </c>
      <c r="E16">
        <f t="shared" si="0"/>
        <v>2</v>
      </c>
      <c r="F16" t="str">
        <f t="shared" si="1"/>
        <v>STILL CHURNED</v>
      </c>
      <c r="G16" s="2">
        <f t="shared" si="2"/>
        <v>-1</v>
      </c>
    </row>
    <row r="17" spans="1:13" x14ac:dyDescent="0.35">
      <c r="A17" t="s">
        <v>1581</v>
      </c>
      <c r="B17">
        <v>2</v>
      </c>
      <c r="C17">
        <v>1</v>
      </c>
      <c r="E17">
        <f t="shared" si="0"/>
        <v>2</v>
      </c>
      <c r="F17" t="str">
        <f t="shared" si="1"/>
        <v>STILL CHURNED</v>
      </c>
      <c r="G17" s="2">
        <f t="shared" si="2"/>
        <v>-1</v>
      </c>
    </row>
    <row r="18" spans="1:13" x14ac:dyDescent="0.35">
      <c r="A18" t="s">
        <v>1582</v>
      </c>
      <c r="B18">
        <v>5</v>
      </c>
      <c r="E18">
        <f t="shared" si="0"/>
        <v>5</v>
      </c>
      <c r="F18" t="str">
        <f t="shared" si="1"/>
        <v>STILL CHURNED</v>
      </c>
      <c r="G18" s="2">
        <f t="shared" si="2"/>
        <v>-1</v>
      </c>
    </row>
    <row r="19" spans="1:13" x14ac:dyDescent="0.35">
      <c r="A19" t="s">
        <v>1585</v>
      </c>
      <c r="B19">
        <v>1</v>
      </c>
      <c r="C19">
        <v>1</v>
      </c>
      <c r="E19">
        <f t="shared" si="0"/>
        <v>1</v>
      </c>
      <c r="F19" t="str">
        <f t="shared" si="1"/>
        <v>STILL CHURNED</v>
      </c>
      <c r="G19" s="2">
        <f t="shared" si="2"/>
        <v>-1</v>
      </c>
    </row>
    <row r="20" spans="1:13" x14ac:dyDescent="0.35">
      <c r="A20" t="s">
        <v>1586</v>
      </c>
      <c r="B20">
        <v>1</v>
      </c>
      <c r="E20">
        <f t="shared" si="0"/>
        <v>1</v>
      </c>
      <c r="F20" t="str">
        <f t="shared" si="1"/>
        <v>STILL CHURNED</v>
      </c>
      <c r="G20" s="2">
        <f t="shared" si="2"/>
        <v>-1</v>
      </c>
    </row>
    <row r="21" spans="1:13" x14ac:dyDescent="0.35">
      <c r="A21" t="s">
        <v>1588</v>
      </c>
      <c r="B21">
        <v>2</v>
      </c>
      <c r="E21">
        <f t="shared" si="0"/>
        <v>2</v>
      </c>
      <c r="F21" t="str">
        <f t="shared" si="1"/>
        <v>STILL CHURNED</v>
      </c>
      <c r="G21" s="2">
        <f t="shared" si="2"/>
        <v>-1</v>
      </c>
    </row>
    <row r="22" spans="1:13" x14ac:dyDescent="0.35">
      <c r="A22" t="s">
        <v>1589</v>
      </c>
      <c r="B22">
        <v>1</v>
      </c>
      <c r="C22">
        <v>1</v>
      </c>
      <c r="E22">
        <f t="shared" si="0"/>
        <v>1</v>
      </c>
      <c r="F22" t="str">
        <f t="shared" si="1"/>
        <v>STILL CHURNED</v>
      </c>
      <c r="G22" s="2">
        <f t="shared" si="2"/>
        <v>-1</v>
      </c>
    </row>
    <row r="23" spans="1:13" x14ac:dyDescent="0.35">
      <c r="A23" t="s">
        <v>1591</v>
      </c>
      <c r="B23">
        <v>1</v>
      </c>
      <c r="C23">
        <v>2</v>
      </c>
      <c r="E23">
        <f t="shared" si="0"/>
        <v>1</v>
      </c>
      <c r="F23" t="str">
        <f t="shared" si="1"/>
        <v>STILL CHURNED</v>
      </c>
      <c r="G23" s="2">
        <f t="shared" si="2"/>
        <v>-1</v>
      </c>
    </row>
    <row r="24" spans="1:13" x14ac:dyDescent="0.35">
      <c r="A24" t="s">
        <v>1592</v>
      </c>
      <c r="B24">
        <v>2</v>
      </c>
      <c r="C24">
        <v>1</v>
      </c>
      <c r="E24">
        <f t="shared" si="0"/>
        <v>2</v>
      </c>
      <c r="F24" t="str">
        <f t="shared" si="1"/>
        <v>STILL CHURNED</v>
      </c>
      <c r="G24" s="2">
        <f t="shared" si="2"/>
        <v>-1</v>
      </c>
    </row>
    <row r="25" spans="1:13" x14ac:dyDescent="0.35">
      <c r="A25" t="s">
        <v>1593</v>
      </c>
      <c r="B25">
        <v>2</v>
      </c>
      <c r="E25">
        <f t="shared" si="0"/>
        <v>2</v>
      </c>
      <c r="F25" t="str">
        <f t="shared" si="1"/>
        <v>STILL CHURNED</v>
      </c>
      <c r="G25" s="2">
        <f t="shared" si="2"/>
        <v>-1</v>
      </c>
    </row>
    <row r="26" spans="1:13" x14ac:dyDescent="0.35">
      <c r="A26" t="s">
        <v>1548</v>
      </c>
      <c r="B26">
        <v>12</v>
      </c>
      <c r="C26">
        <v>2</v>
      </c>
      <c r="D26">
        <v>3</v>
      </c>
      <c r="E26">
        <f t="shared" si="0"/>
        <v>12</v>
      </c>
      <c r="F26" t="str">
        <f t="shared" si="1"/>
        <v>CRITICAL DECLINE</v>
      </c>
      <c r="G26" s="2">
        <f t="shared" si="2"/>
        <v>-0.75</v>
      </c>
    </row>
    <row r="27" spans="1:13" x14ac:dyDescent="0.35">
      <c r="A27" t="s">
        <v>1545</v>
      </c>
      <c r="B27">
        <v>15</v>
      </c>
      <c r="C27">
        <v>12</v>
      </c>
      <c r="D27">
        <v>4</v>
      </c>
      <c r="E27">
        <f t="shared" si="0"/>
        <v>15</v>
      </c>
      <c r="F27" t="str">
        <f t="shared" si="1"/>
        <v>CRITICAL DECLINE</v>
      </c>
      <c r="G27" s="2">
        <f t="shared" si="2"/>
        <v>-0.73333333333333328</v>
      </c>
    </row>
    <row r="28" spans="1:13" x14ac:dyDescent="0.35">
      <c r="A28" t="s">
        <v>1541</v>
      </c>
      <c r="B28">
        <v>14</v>
      </c>
      <c r="C28">
        <v>3</v>
      </c>
      <c r="D28">
        <v>4</v>
      </c>
      <c r="E28">
        <f t="shared" si="0"/>
        <v>14</v>
      </c>
      <c r="F28" t="str">
        <f t="shared" si="1"/>
        <v>CRITICAL DECLINE</v>
      </c>
      <c r="G28" s="2">
        <f t="shared" si="2"/>
        <v>-0.7142857142857143</v>
      </c>
    </row>
    <row r="29" spans="1:13" x14ac:dyDescent="0.35">
      <c r="A29" t="s">
        <v>1574</v>
      </c>
      <c r="B29">
        <v>5</v>
      </c>
      <c r="C29">
        <v>2</v>
      </c>
      <c r="D29">
        <v>2</v>
      </c>
      <c r="E29">
        <f t="shared" si="0"/>
        <v>5</v>
      </c>
      <c r="F29" t="str">
        <f t="shared" si="1"/>
        <v>CRITICAL DECLINE</v>
      </c>
      <c r="G29" s="2">
        <f t="shared" si="2"/>
        <v>-0.6</v>
      </c>
      <c r="M29" s="2"/>
    </row>
    <row r="30" spans="1:13" x14ac:dyDescent="0.35">
      <c r="A30" t="s">
        <v>1546</v>
      </c>
      <c r="B30">
        <v>4</v>
      </c>
      <c r="C30">
        <v>1</v>
      </c>
      <c r="D30">
        <v>2</v>
      </c>
      <c r="E30">
        <f t="shared" si="0"/>
        <v>4</v>
      </c>
      <c r="F30" t="str">
        <f t="shared" si="1"/>
        <v>CRITICAL DECLINE</v>
      </c>
      <c r="G30" s="2">
        <f t="shared" si="2"/>
        <v>-0.5</v>
      </c>
    </row>
    <row r="31" spans="1:13" x14ac:dyDescent="0.35">
      <c r="A31" t="s">
        <v>1554</v>
      </c>
      <c r="B31">
        <v>8</v>
      </c>
      <c r="D31">
        <v>4</v>
      </c>
      <c r="E31">
        <f t="shared" si="0"/>
        <v>8</v>
      </c>
      <c r="F31" t="str">
        <f t="shared" si="1"/>
        <v>Recovered in Q3</v>
      </c>
      <c r="G31" s="2">
        <f t="shared" si="2"/>
        <v>-0.5</v>
      </c>
    </row>
    <row r="32" spans="1:13" x14ac:dyDescent="0.35">
      <c r="A32" t="s">
        <v>1562</v>
      </c>
      <c r="B32">
        <v>13</v>
      </c>
      <c r="C32">
        <v>5</v>
      </c>
      <c r="D32">
        <v>7</v>
      </c>
      <c r="E32">
        <f t="shared" si="0"/>
        <v>13</v>
      </c>
      <c r="F32" t="str">
        <f t="shared" si="1"/>
        <v>CRITICAL DECLINE</v>
      </c>
      <c r="G32" s="2">
        <f t="shared" si="2"/>
        <v>-0.46153846153846156</v>
      </c>
    </row>
    <row r="33" spans="1:11" x14ac:dyDescent="0.35">
      <c r="A33" t="s">
        <v>1539</v>
      </c>
      <c r="B33">
        <v>25</v>
      </c>
      <c r="C33">
        <v>17</v>
      </c>
      <c r="D33">
        <v>14</v>
      </c>
      <c r="E33">
        <f t="shared" si="0"/>
        <v>25</v>
      </c>
      <c r="F33" t="str">
        <f t="shared" si="1"/>
        <v>CRITICAL DECLINE</v>
      </c>
      <c r="G33" s="2">
        <f t="shared" si="2"/>
        <v>-0.44</v>
      </c>
    </row>
    <row r="34" spans="1:11" x14ac:dyDescent="0.35">
      <c r="A34" t="s">
        <v>1550</v>
      </c>
      <c r="B34">
        <v>27</v>
      </c>
      <c r="C34">
        <v>11</v>
      </c>
      <c r="D34">
        <v>16</v>
      </c>
      <c r="E34">
        <f t="shared" si="0"/>
        <v>27</v>
      </c>
      <c r="F34" t="str">
        <f t="shared" si="1"/>
        <v>CRITICAL DECLINE</v>
      </c>
      <c r="G34" s="2">
        <f t="shared" si="2"/>
        <v>-0.40740740740740738</v>
      </c>
    </row>
    <row r="35" spans="1:11" x14ac:dyDescent="0.35">
      <c r="A35" t="s">
        <v>1570</v>
      </c>
      <c r="B35">
        <v>3</v>
      </c>
      <c r="D35">
        <v>2</v>
      </c>
      <c r="E35">
        <f t="shared" ref="E35:E66" si="3">B35</f>
        <v>3</v>
      </c>
      <c r="F35" t="str">
        <f t="shared" ref="F35:F66" si="4">IF(AND(B35&gt;0,D35=0),"STILL CHURNED",
IF(AND(B35&gt;0,C35=0,D35&gt;0),"Recovered in Q3",
IF(AND(B35&gt;0,D35&gt;0,IFERROR((D35-B35)/B35,0)&lt;=-0.4),"CRITICAL DECLINE",
IF(AND(B35=0,C35=0,D35&gt;0,D35&lt;=2),"New Trial Account",
IF(AND(B35=0,D35=0),"Inactive / One-Off",
"Stable / Active")))))</f>
        <v>Recovered in Q3</v>
      </c>
      <c r="G35" s="2">
        <f t="shared" ref="G35:G66" si="5">IFERROR((D35-B35)/B35,0)</f>
        <v>-0.33333333333333331</v>
      </c>
    </row>
    <row r="36" spans="1:11" x14ac:dyDescent="0.35">
      <c r="A36" t="s">
        <v>1543</v>
      </c>
      <c r="B36">
        <v>68</v>
      </c>
      <c r="C36">
        <v>12</v>
      </c>
      <c r="D36">
        <v>58</v>
      </c>
      <c r="E36">
        <f t="shared" si="3"/>
        <v>68</v>
      </c>
      <c r="F36" t="str">
        <f t="shared" si="4"/>
        <v>Stable / Active</v>
      </c>
      <c r="G36" s="2">
        <f t="shared" si="5"/>
        <v>-0.14705882352941177</v>
      </c>
    </row>
    <row r="37" spans="1:11" x14ac:dyDescent="0.35">
      <c r="A37" t="s">
        <v>1547</v>
      </c>
      <c r="B37">
        <v>7</v>
      </c>
      <c r="C37">
        <v>8</v>
      </c>
      <c r="D37">
        <v>6</v>
      </c>
      <c r="E37">
        <f t="shared" si="3"/>
        <v>7</v>
      </c>
      <c r="F37" t="str">
        <f t="shared" si="4"/>
        <v>Stable / Active</v>
      </c>
      <c r="G37" s="2">
        <f t="shared" si="5"/>
        <v>-0.14285714285714285</v>
      </c>
    </row>
    <row r="38" spans="1:11" x14ac:dyDescent="0.35">
      <c r="A38" t="s">
        <v>1557</v>
      </c>
      <c r="B38">
        <v>7</v>
      </c>
      <c r="C38">
        <v>2</v>
      </c>
      <c r="D38">
        <v>6</v>
      </c>
      <c r="E38">
        <f t="shared" si="3"/>
        <v>7</v>
      </c>
      <c r="F38" t="str">
        <f t="shared" si="4"/>
        <v>Stable / Active</v>
      </c>
      <c r="G38" s="2">
        <f t="shared" si="5"/>
        <v>-0.14285714285714285</v>
      </c>
    </row>
    <row r="39" spans="1:11" x14ac:dyDescent="0.35">
      <c r="A39" t="s">
        <v>1558</v>
      </c>
      <c r="B39">
        <v>50</v>
      </c>
      <c r="C39">
        <v>26</v>
      </c>
      <c r="D39">
        <v>44</v>
      </c>
      <c r="E39">
        <f t="shared" si="3"/>
        <v>50</v>
      </c>
      <c r="F39" t="str">
        <f t="shared" si="4"/>
        <v>Stable / Active</v>
      </c>
      <c r="G39" s="2">
        <f t="shared" si="5"/>
        <v>-0.12</v>
      </c>
    </row>
    <row r="40" spans="1:11" x14ac:dyDescent="0.35">
      <c r="A40" t="s">
        <v>1556</v>
      </c>
      <c r="B40">
        <v>13</v>
      </c>
      <c r="C40">
        <v>4</v>
      </c>
      <c r="D40">
        <v>13</v>
      </c>
      <c r="E40">
        <f t="shared" si="3"/>
        <v>13</v>
      </c>
      <c r="F40" t="str">
        <f t="shared" si="4"/>
        <v>Stable / Active</v>
      </c>
      <c r="G40" s="2">
        <f t="shared" si="5"/>
        <v>0</v>
      </c>
    </row>
    <row r="41" spans="1:11" x14ac:dyDescent="0.35">
      <c r="A41" t="s">
        <v>1559</v>
      </c>
      <c r="B41">
        <v>1</v>
      </c>
      <c r="D41">
        <v>1</v>
      </c>
      <c r="E41">
        <f t="shared" si="3"/>
        <v>1</v>
      </c>
      <c r="F41" t="str">
        <f t="shared" si="4"/>
        <v>Recovered in Q3</v>
      </c>
      <c r="G41" s="2">
        <f t="shared" si="5"/>
        <v>0</v>
      </c>
    </row>
    <row r="42" spans="1:11" x14ac:dyDescent="0.35">
      <c r="A42" t="s">
        <v>1565</v>
      </c>
      <c r="B42">
        <v>2</v>
      </c>
      <c r="C42">
        <v>1</v>
      </c>
      <c r="D42">
        <v>2</v>
      </c>
      <c r="E42">
        <f t="shared" si="3"/>
        <v>2</v>
      </c>
      <c r="F42" t="str">
        <f t="shared" si="4"/>
        <v>Stable / Active</v>
      </c>
      <c r="G42" s="2">
        <f t="shared" si="5"/>
        <v>0</v>
      </c>
    </row>
    <row r="43" spans="1:11" x14ac:dyDescent="0.35">
      <c r="A43" t="s">
        <v>1569</v>
      </c>
      <c r="B43">
        <v>1</v>
      </c>
      <c r="C43">
        <v>5</v>
      </c>
      <c r="D43">
        <v>1</v>
      </c>
      <c r="E43">
        <f t="shared" si="3"/>
        <v>1</v>
      </c>
      <c r="F43" t="str">
        <f t="shared" si="4"/>
        <v>Stable / Active</v>
      </c>
      <c r="G43" s="2">
        <f t="shared" si="5"/>
        <v>0</v>
      </c>
    </row>
    <row r="44" spans="1:11" x14ac:dyDescent="0.35">
      <c r="A44" t="s">
        <v>1572</v>
      </c>
      <c r="B44">
        <v>2</v>
      </c>
      <c r="D44">
        <v>2</v>
      </c>
      <c r="E44">
        <f t="shared" si="3"/>
        <v>2</v>
      </c>
      <c r="F44" t="str">
        <f t="shared" si="4"/>
        <v>Recovered in Q3</v>
      </c>
      <c r="G44" s="2">
        <f t="shared" si="5"/>
        <v>0</v>
      </c>
    </row>
    <row r="45" spans="1:11" x14ac:dyDescent="0.35">
      <c r="A45" t="s">
        <v>1579</v>
      </c>
      <c r="B45">
        <v>1</v>
      </c>
      <c r="D45">
        <v>1</v>
      </c>
      <c r="E45">
        <f t="shared" si="3"/>
        <v>1</v>
      </c>
      <c r="F45" t="str">
        <f t="shared" si="4"/>
        <v>Recovered in Q3</v>
      </c>
      <c r="G45" s="2">
        <f t="shared" si="5"/>
        <v>0</v>
      </c>
    </row>
    <row r="46" spans="1:11" x14ac:dyDescent="0.35">
      <c r="A46" t="s">
        <v>1590</v>
      </c>
      <c r="B46">
        <v>1</v>
      </c>
      <c r="D46">
        <v>1</v>
      </c>
      <c r="E46">
        <f t="shared" si="3"/>
        <v>1</v>
      </c>
      <c r="F46" t="str">
        <f t="shared" si="4"/>
        <v>Recovered in Q3</v>
      </c>
      <c r="G46" s="2">
        <f t="shared" si="5"/>
        <v>0</v>
      </c>
    </row>
    <row r="47" spans="1:11" x14ac:dyDescent="0.35">
      <c r="A47" t="s">
        <v>1595</v>
      </c>
      <c r="C47">
        <v>3</v>
      </c>
      <c r="E47">
        <f t="shared" si="3"/>
        <v>0</v>
      </c>
      <c r="F47" t="str">
        <f t="shared" si="4"/>
        <v>Inactive / One-Off</v>
      </c>
      <c r="G47" s="2">
        <f t="shared" si="5"/>
        <v>0</v>
      </c>
    </row>
    <row r="48" spans="1:11" x14ac:dyDescent="0.35">
      <c r="A48" t="s">
        <v>1596</v>
      </c>
      <c r="C48">
        <v>1</v>
      </c>
      <c r="D48">
        <v>1</v>
      </c>
      <c r="E48">
        <f t="shared" si="3"/>
        <v>0</v>
      </c>
      <c r="F48" t="str">
        <f t="shared" si="4"/>
        <v>Stable / Active</v>
      </c>
      <c r="G48" s="2">
        <f t="shared" si="5"/>
        <v>0</v>
      </c>
      <c r="J48" t="s">
        <v>1655</v>
      </c>
      <c r="K48">
        <f>SUBTOTAL(103,A36:A95)</f>
        <v>60</v>
      </c>
    </row>
    <row r="49" spans="1:11" x14ac:dyDescent="0.35">
      <c r="A49" t="s">
        <v>1597</v>
      </c>
      <c r="C49">
        <v>1</v>
      </c>
      <c r="E49">
        <f t="shared" si="3"/>
        <v>0</v>
      </c>
      <c r="F49" t="str">
        <f t="shared" si="4"/>
        <v>Inactive / One-Off</v>
      </c>
      <c r="G49" s="2">
        <f t="shared" si="5"/>
        <v>0</v>
      </c>
    </row>
    <row r="50" spans="1:11" x14ac:dyDescent="0.35">
      <c r="A50" t="s">
        <v>1598</v>
      </c>
      <c r="C50">
        <v>2</v>
      </c>
      <c r="D50">
        <v>1</v>
      </c>
      <c r="E50">
        <f t="shared" si="3"/>
        <v>0</v>
      </c>
      <c r="F50" t="str">
        <f t="shared" si="4"/>
        <v>Stable / Active</v>
      </c>
      <c r="G50" s="2">
        <f t="shared" si="5"/>
        <v>0</v>
      </c>
      <c r="J50" t="s">
        <v>1656</v>
      </c>
      <c r="K50">
        <f>SUBTOTAL(9,B36:B95)</f>
        <v>353</v>
      </c>
    </row>
    <row r="51" spans="1:11" x14ac:dyDescent="0.35">
      <c r="A51" t="s">
        <v>1599</v>
      </c>
      <c r="C51">
        <v>1</v>
      </c>
      <c r="D51">
        <v>2</v>
      </c>
      <c r="E51">
        <f t="shared" si="3"/>
        <v>0</v>
      </c>
      <c r="F51" t="str">
        <f t="shared" si="4"/>
        <v>Stable / Active</v>
      </c>
      <c r="G51" s="2">
        <f t="shared" si="5"/>
        <v>0</v>
      </c>
      <c r="J51" t="s">
        <v>1657</v>
      </c>
      <c r="K51">
        <f>SUBTOTAL(9,D36:D95)</f>
        <v>510</v>
      </c>
    </row>
    <row r="52" spans="1:11" x14ac:dyDescent="0.35">
      <c r="A52" t="s">
        <v>1600</v>
      </c>
      <c r="C52">
        <v>1</v>
      </c>
      <c r="D52">
        <v>1</v>
      </c>
      <c r="E52">
        <f t="shared" si="3"/>
        <v>0</v>
      </c>
      <c r="F52" t="str">
        <f t="shared" si="4"/>
        <v>Stable / Active</v>
      </c>
      <c r="G52" s="2">
        <f t="shared" si="5"/>
        <v>0</v>
      </c>
    </row>
    <row r="53" spans="1:11" x14ac:dyDescent="0.35">
      <c r="A53" t="s">
        <v>1601</v>
      </c>
      <c r="C53">
        <v>1</v>
      </c>
      <c r="E53">
        <f t="shared" si="3"/>
        <v>0</v>
      </c>
      <c r="F53" t="str">
        <f t="shared" si="4"/>
        <v>Inactive / One-Off</v>
      </c>
      <c r="G53" s="2">
        <f t="shared" si="5"/>
        <v>0</v>
      </c>
    </row>
    <row r="54" spans="1:11" x14ac:dyDescent="0.35">
      <c r="A54" t="s">
        <v>1602</v>
      </c>
      <c r="C54">
        <v>2</v>
      </c>
      <c r="E54">
        <f t="shared" si="3"/>
        <v>0</v>
      </c>
      <c r="F54" t="str">
        <f t="shared" si="4"/>
        <v>Inactive / One-Off</v>
      </c>
      <c r="G54" s="2">
        <f t="shared" si="5"/>
        <v>0</v>
      </c>
    </row>
    <row r="55" spans="1:11" x14ac:dyDescent="0.35">
      <c r="A55" t="s">
        <v>1603</v>
      </c>
      <c r="C55">
        <v>4</v>
      </c>
      <c r="D55">
        <v>3</v>
      </c>
      <c r="E55">
        <f t="shared" si="3"/>
        <v>0</v>
      </c>
      <c r="F55" t="str">
        <f t="shared" si="4"/>
        <v>Stable / Active</v>
      </c>
      <c r="G55" s="2">
        <f t="shared" si="5"/>
        <v>0</v>
      </c>
    </row>
    <row r="56" spans="1:11" x14ac:dyDescent="0.35">
      <c r="A56" t="s">
        <v>1604</v>
      </c>
      <c r="C56">
        <v>1</v>
      </c>
      <c r="D56">
        <v>3</v>
      </c>
      <c r="E56">
        <f t="shared" si="3"/>
        <v>0</v>
      </c>
      <c r="F56" t="str">
        <f t="shared" si="4"/>
        <v>Stable / Active</v>
      </c>
      <c r="G56" s="2">
        <f t="shared" si="5"/>
        <v>0</v>
      </c>
    </row>
    <row r="57" spans="1:11" x14ac:dyDescent="0.35">
      <c r="A57" t="s">
        <v>1605</v>
      </c>
      <c r="C57">
        <v>1</v>
      </c>
      <c r="D57">
        <v>1</v>
      </c>
      <c r="E57">
        <f t="shared" si="3"/>
        <v>0</v>
      </c>
      <c r="F57" t="str">
        <f t="shared" si="4"/>
        <v>Stable / Active</v>
      </c>
      <c r="G57" s="2">
        <f t="shared" si="5"/>
        <v>0</v>
      </c>
    </row>
    <row r="58" spans="1:11" x14ac:dyDescent="0.35">
      <c r="A58" t="s">
        <v>1606</v>
      </c>
      <c r="C58">
        <v>1</v>
      </c>
      <c r="E58">
        <f t="shared" si="3"/>
        <v>0</v>
      </c>
      <c r="F58" t="str">
        <f t="shared" si="4"/>
        <v>Inactive / One-Off</v>
      </c>
      <c r="G58" s="2">
        <f t="shared" si="5"/>
        <v>0</v>
      </c>
    </row>
    <row r="59" spans="1:11" x14ac:dyDescent="0.35">
      <c r="A59" t="s">
        <v>1607</v>
      </c>
      <c r="C59">
        <v>1</v>
      </c>
      <c r="D59">
        <v>1</v>
      </c>
      <c r="E59">
        <f t="shared" si="3"/>
        <v>0</v>
      </c>
      <c r="F59" t="str">
        <f t="shared" si="4"/>
        <v>Stable / Active</v>
      </c>
      <c r="G59" s="2">
        <f t="shared" si="5"/>
        <v>0</v>
      </c>
    </row>
    <row r="60" spans="1:11" x14ac:dyDescent="0.35">
      <c r="A60" t="s">
        <v>1608</v>
      </c>
      <c r="C60">
        <v>1</v>
      </c>
      <c r="D60">
        <v>2</v>
      </c>
      <c r="E60">
        <f t="shared" si="3"/>
        <v>0</v>
      </c>
      <c r="F60" t="str">
        <f t="shared" si="4"/>
        <v>Stable / Active</v>
      </c>
      <c r="G60" s="2">
        <f t="shared" si="5"/>
        <v>0</v>
      </c>
    </row>
    <row r="61" spans="1:11" x14ac:dyDescent="0.35">
      <c r="A61" t="s">
        <v>1609</v>
      </c>
      <c r="C61">
        <v>1</v>
      </c>
      <c r="E61">
        <f t="shared" si="3"/>
        <v>0</v>
      </c>
      <c r="F61" t="str">
        <f t="shared" si="4"/>
        <v>Inactive / One-Off</v>
      </c>
      <c r="G61" s="2">
        <f t="shared" si="5"/>
        <v>0</v>
      </c>
    </row>
    <row r="62" spans="1:11" x14ac:dyDescent="0.35">
      <c r="A62" t="s">
        <v>1610</v>
      </c>
      <c r="D62">
        <v>3</v>
      </c>
      <c r="E62">
        <f t="shared" si="3"/>
        <v>0</v>
      </c>
      <c r="F62" t="str">
        <f t="shared" si="4"/>
        <v>Stable / Active</v>
      </c>
      <c r="G62" s="2">
        <f t="shared" si="5"/>
        <v>0</v>
      </c>
    </row>
    <row r="63" spans="1:11" x14ac:dyDescent="0.35">
      <c r="A63" t="s">
        <v>1611</v>
      </c>
      <c r="D63">
        <v>1</v>
      </c>
      <c r="E63">
        <f t="shared" si="3"/>
        <v>0</v>
      </c>
      <c r="F63" t="str">
        <f t="shared" si="4"/>
        <v>New Trial Account</v>
      </c>
      <c r="G63" s="2">
        <f t="shared" si="5"/>
        <v>0</v>
      </c>
    </row>
    <row r="64" spans="1:11" x14ac:dyDescent="0.35">
      <c r="A64" t="s">
        <v>1612</v>
      </c>
      <c r="D64">
        <v>1</v>
      </c>
      <c r="E64">
        <f t="shared" si="3"/>
        <v>0</v>
      </c>
      <c r="F64" t="str">
        <f t="shared" si="4"/>
        <v>New Trial Account</v>
      </c>
      <c r="G64" s="2">
        <f t="shared" si="5"/>
        <v>0</v>
      </c>
    </row>
    <row r="65" spans="1:7" x14ac:dyDescent="0.35">
      <c r="A65" t="s">
        <v>1613</v>
      </c>
      <c r="D65">
        <v>3</v>
      </c>
      <c r="E65">
        <f t="shared" si="3"/>
        <v>0</v>
      </c>
      <c r="F65" t="str">
        <f t="shared" si="4"/>
        <v>Stable / Active</v>
      </c>
      <c r="G65" s="2">
        <f t="shared" si="5"/>
        <v>0</v>
      </c>
    </row>
    <row r="66" spans="1:7" x14ac:dyDescent="0.35">
      <c r="A66" t="s">
        <v>1614</v>
      </c>
      <c r="D66">
        <v>3</v>
      </c>
      <c r="E66">
        <f t="shared" si="3"/>
        <v>0</v>
      </c>
      <c r="F66" t="str">
        <f t="shared" si="4"/>
        <v>Stable / Active</v>
      </c>
      <c r="G66" s="2">
        <f t="shared" si="5"/>
        <v>0</v>
      </c>
    </row>
    <row r="67" spans="1:7" x14ac:dyDescent="0.35">
      <c r="A67" t="s">
        <v>1615</v>
      </c>
      <c r="D67">
        <v>1</v>
      </c>
      <c r="E67">
        <f t="shared" ref="E67:E95" si="6">B67</f>
        <v>0</v>
      </c>
      <c r="F67" t="str">
        <f t="shared" ref="F67:F95" si="7">IF(AND(B67&gt;0,D67=0),"STILL CHURNED",
IF(AND(B67&gt;0,C67=0,D67&gt;0),"Recovered in Q3",
IF(AND(B67&gt;0,D67&gt;0,IFERROR((D67-B67)/B67,0)&lt;=-0.4),"CRITICAL DECLINE",
IF(AND(B67=0,C67=0,D67&gt;0,D67&lt;=2),"New Trial Account",
IF(AND(B67=0,D67=0),"Inactive / One-Off",
"Stable / Active")))))</f>
        <v>New Trial Account</v>
      </c>
      <c r="G67" s="2">
        <f t="shared" ref="G67:G95" si="8">IFERROR((D67-B67)/B67,0)</f>
        <v>0</v>
      </c>
    </row>
    <row r="68" spans="1:7" x14ac:dyDescent="0.35">
      <c r="A68" t="s">
        <v>1616</v>
      </c>
      <c r="D68">
        <v>3</v>
      </c>
      <c r="E68">
        <f t="shared" si="6"/>
        <v>0</v>
      </c>
      <c r="F68" t="str">
        <f t="shared" si="7"/>
        <v>Stable / Active</v>
      </c>
      <c r="G68" s="2">
        <f t="shared" si="8"/>
        <v>0</v>
      </c>
    </row>
    <row r="69" spans="1:7" x14ac:dyDescent="0.35">
      <c r="A69" t="s">
        <v>1617</v>
      </c>
      <c r="D69">
        <v>1</v>
      </c>
      <c r="E69">
        <f t="shared" si="6"/>
        <v>0</v>
      </c>
      <c r="F69" t="str">
        <f t="shared" si="7"/>
        <v>New Trial Account</v>
      </c>
      <c r="G69" s="2">
        <f t="shared" si="8"/>
        <v>0</v>
      </c>
    </row>
    <row r="70" spans="1:7" x14ac:dyDescent="0.35">
      <c r="A70" t="s">
        <v>1618</v>
      </c>
      <c r="D70">
        <v>2</v>
      </c>
      <c r="E70">
        <f t="shared" si="6"/>
        <v>0</v>
      </c>
      <c r="F70" t="str">
        <f t="shared" si="7"/>
        <v>New Trial Account</v>
      </c>
      <c r="G70" s="2">
        <f t="shared" si="8"/>
        <v>0</v>
      </c>
    </row>
    <row r="71" spans="1:7" x14ac:dyDescent="0.35">
      <c r="A71" t="s">
        <v>1619</v>
      </c>
      <c r="D71">
        <v>2</v>
      </c>
      <c r="E71">
        <f t="shared" si="6"/>
        <v>0</v>
      </c>
      <c r="F71" t="str">
        <f t="shared" si="7"/>
        <v>New Trial Account</v>
      </c>
      <c r="G71" s="2">
        <f t="shared" si="8"/>
        <v>0</v>
      </c>
    </row>
    <row r="72" spans="1:7" x14ac:dyDescent="0.35">
      <c r="A72" t="s">
        <v>1620</v>
      </c>
      <c r="D72">
        <v>1</v>
      </c>
      <c r="E72">
        <f t="shared" si="6"/>
        <v>0</v>
      </c>
      <c r="F72" t="str">
        <f t="shared" si="7"/>
        <v>New Trial Account</v>
      </c>
      <c r="G72" s="2">
        <f t="shared" si="8"/>
        <v>0</v>
      </c>
    </row>
    <row r="73" spans="1:7" x14ac:dyDescent="0.35">
      <c r="A73" t="s">
        <v>1621</v>
      </c>
      <c r="D73">
        <v>2</v>
      </c>
      <c r="E73">
        <f t="shared" si="6"/>
        <v>0</v>
      </c>
      <c r="F73" t="str">
        <f t="shared" si="7"/>
        <v>New Trial Account</v>
      </c>
      <c r="G73" s="2">
        <f t="shared" si="8"/>
        <v>0</v>
      </c>
    </row>
    <row r="74" spans="1:7" x14ac:dyDescent="0.35">
      <c r="A74" t="s">
        <v>1622</v>
      </c>
      <c r="D74">
        <v>1</v>
      </c>
      <c r="E74">
        <f t="shared" si="6"/>
        <v>0</v>
      </c>
      <c r="F74" t="str">
        <f t="shared" si="7"/>
        <v>New Trial Account</v>
      </c>
      <c r="G74" s="2">
        <f t="shared" si="8"/>
        <v>0</v>
      </c>
    </row>
    <row r="75" spans="1:7" x14ac:dyDescent="0.35">
      <c r="A75" t="s">
        <v>1623</v>
      </c>
      <c r="D75">
        <v>1</v>
      </c>
      <c r="E75">
        <f t="shared" si="6"/>
        <v>0</v>
      </c>
      <c r="F75" t="str">
        <f t="shared" si="7"/>
        <v>New Trial Account</v>
      </c>
      <c r="G75" s="2">
        <f t="shared" si="8"/>
        <v>0</v>
      </c>
    </row>
    <row r="76" spans="1:7" x14ac:dyDescent="0.35">
      <c r="A76" t="s">
        <v>1624</v>
      </c>
      <c r="D76">
        <v>1</v>
      </c>
      <c r="E76">
        <f t="shared" si="6"/>
        <v>0</v>
      </c>
      <c r="F76" t="str">
        <f t="shared" si="7"/>
        <v>New Trial Account</v>
      </c>
      <c r="G76" s="2">
        <f t="shared" si="8"/>
        <v>0</v>
      </c>
    </row>
    <row r="77" spans="1:7" x14ac:dyDescent="0.35">
      <c r="A77" t="s">
        <v>1625</v>
      </c>
      <c r="D77">
        <v>1</v>
      </c>
      <c r="E77">
        <f t="shared" si="6"/>
        <v>0</v>
      </c>
      <c r="F77" t="str">
        <f t="shared" si="7"/>
        <v>New Trial Account</v>
      </c>
      <c r="G77" s="2">
        <f t="shared" si="8"/>
        <v>0</v>
      </c>
    </row>
    <row r="78" spans="1:7" x14ac:dyDescent="0.35">
      <c r="A78" t="s">
        <v>1626</v>
      </c>
      <c r="D78">
        <v>1</v>
      </c>
      <c r="E78">
        <f t="shared" si="6"/>
        <v>0</v>
      </c>
      <c r="F78" t="str">
        <f t="shared" si="7"/>
        <v>New Trial Account</v>
      </c>
      <c r="G78" s="2">
        <f t="shared" si="8"/>
        <v>0</v>
      </c>
    </row>
    <row r="79" spans="1:7" x14ac:dyDescent="0.35">
      <c r="A79" t="s">
        <v>1551</v>
      </c>
      <c r="B79">
        <v>17</v>
      </c>
      <c r="C79">
        <v>12</v>
      </c>
      <c r="D79">
        <v>20</v>
      </c>
      <c r="E79">
        <f t="shared" si="6"/>
        <v>17</v>
      </c>
      <c r="F79" t="str">
        <f t="shared" si="7"/>
        <v>Stable / Active</v>
      </c>
      <c r="G79" s="2">
        <f t="shared" si="8"/>
        <v>0.17647058823529413</v>
      </c>
    </row>
    <row r="80" spans="1:7" x14ac:dyDescent="0.35">
      <c r="A80" t="s">
        <v>1576</v>
      </c>
      <c r="B80">
        <v>8</v>
      </c>
      <c r="C80">
        <v>7</v>
      </c>
      <c r="D80">
        <v>10</v>
      </c>
      <c r="E80">
        <f t="shared" si="6"/>
        <v>8</v>
      </c>
      <c r="F80" t="str">
        <f t="shared" si="7"/>
        <v>Stable / Active</v>
      </c>
      <c r="G80" s="2">
        <f t="shared" si="8"/>
        <v>0.25</v>
      </c>
    </row>
    <row r="81" spans="1:7" x14ac:dyDescent="0.35">
      <c r="A81" t="s">
        <v>1538</v>
      </c>
      <c r="B81">
        <v>54</v>
      </c>
      <c r="C81">
        <v>49</v>
      </c>
      <c r="D81">
        <v>71</v>
      </c>
      <c r="E81">
        <f t="shared" si="6"/>
        <v>54</v>
      </c>
      <c r="F81" t="str">
        <f t="shared" si="7"/>
        <v>Stable / Active</v>
      </c>
      <c r="G81" s="2">
        <f t="shared" si="8"/>
        <v>0.31481481481481483</v>
      </c>
    </row>
    <row r="82" spans="1:7" x14ac:dyDescent="0.35">
      <c r="A82" t="s">
        <v>1555</v>
      </c>
      <c r="B82">
        <v>3</v>
      </c>
      <c r="C82">
        <v>2</v>
      </c>
      <c r="D82">
        <v>4</v>
      </c>
      <c r="E82">
        <f t="shared" si="6"/>
        <v>3</v>
      </c>
      <c r="F82" t="str">
        <f t="shared" si="7"/>
        <v>Stable / Active</v>
      </c>
      <c r="G82" s="2">
        <f t="shared" si="8"/>
        <v>0.33333333333333331</v>
      </c>
    </row>
    <row r="83" spans="1:7" x14ac:dyDescent="0.35">
      <c r="A83" t="s">
        <v>1568</v>
      </c>
      <c r="B83">
        <v>5</v>
      </c>
      <c r="C83">
        <v>3</v>
      </c>
      <c r="D83">
        <v>7</v>
      </c>
      <c r="E83">
        <f t="shared" si="6"/>
        <v>5</v>
      </c>
      <c r="F83" t="str">
        <f t="shared" si="7"/>
        <v>Stable / Active</v>
      </c>
      <c r="G83" s="2">
        <f t="shared" si="8"/>
        <v>0.4</v>
      </c>
    </row>
    <row r="84" spans="1:7" x14ac:dyDescent="0.35">
      <c r="A84" t="s">
        <v>1553</v>
      </c>
      <c r="B84">
        <v>10</v>
      </c>
      <c r="C84">
        <v>9</v>
      </c>
      <c r="D84">
        <v>15</v>
      </c>
      <c r="E84">
        <f t="shared" si="6"/>
        <v>10</v>
      </c>
      <c r="F84" t="str">
        <f t="shared" si="7"/>
        <v>Stable / Active</v>
      </c>
      <c r="G84" s="2">
        <f t="shared" si="8"/>
        <v>0.5</v>
      </c>
    </row>
    <row r="85" spans="1:7" x14ac:dyDescent="0.35">
      <c r="A85" t="s">
        <v>1540</v>
      </c>
      <c r="B85">
        <v>45</v>
      </c>
      <c r="C85">
        <v>27</v>
      </c>
      <c r="D85">
        <v>69</v>
      </c>
      <c r="E85">
        <f t="shared" si="6"/>
        <v>45</v>
      </c>
      <c r="F85" t="str">
        <f t="shared" si="7"/>
        <v>Stable / Active</v>
      </c>
      <c r="G85" s="2">
        <f t="shared" si="8"/>
        <v>0.53333333333333333</v>
      </c>
    </row>
    <row r="86" spans="1:7" x14ac:dyDescent="0.35">
      <c r="A86" t="s">
        <v>1534</v>
      </c>
      <c r="B86">
        <v>8</v>
      </c>
      <c r="C86">
        <v>17</v>
      </c>
      <c r="D86">
        <v>14</v>
      </c>
      <c r="E86">
        <f t="shared" si="6"/>
        <v>8</v>
      </c>
      <c r="F86" t="str">
        <f t="shared" si="7"/>
        <v>Stable / Active</v>
      </c>
      <c r="G86" s="2">
        <f t="shared" si="8"/>
        <v>0.75</v>
      </c>
    </row>
    <row r="87" spans="1:7" x14ac:dyDescent="0.35">
      <c r="A87" t="s">
        <v>1542</v>
      </c>
      <c r="B87">
        <v>37</v>
      </c>
      <c r="C87">
        <v>42</v>
      </c>
      <c r="D87">
        <v>71</v>
      </c>
      <c r="E87">
        <f t="shared" si="6"/>
        <v>37</v>
      </c>
      <c r="F87" t="str">
        <f t="shared" si="7"/>
        <v>Stable / Active</v>
      </c>
      <c r="G87" s="2">
        <f t="shared" si="8"/>
        <v>0.91891891891891897</v>
      </c>
    </row>
    <row r="88" spans="1:7" x14ac:dyDescent="0.35">
      <c r="A88" t="s">
        <v>1536</v>
      </c>
      <c r="B88">
        <v>2</v>
      </c>
      <c r="C88">
        <v>2</v>
      </c>
      <c r="D88">
        <v>4</v>
      </c>
      <c r="E88">
        <f t="shared" si="6"/>
        <v>2</v>
      </c>
      <c r="F88" t="str">
        <f t="shared" si="7"/>
        <v>Stable / Active</v>
      </c>
      <c r="G88" s="2">
        <f t="shared" si="8"/>
        <v>1</v>
      </c>
    </row>
    <row r="89" spans="1:7" x14ac:dyDescent="0.35">
      <c r="A89" t="s">
        <v>1561</v>
      </c>
      <c r="B89">
        <v>2</v>
      </c>
      <c r="C89">
        <v>1</v>
      </c>
      <c r="D89">
        <v>4</v>
      </c>
      <c r="E89">
        <f t="shared" si="6"/>
        <v>2</v>
      </c>
      <c r="F89" t="str">
        <f t="shared" si="7"/>
        <v>Stable / Active</v>
      </c>
      <c r="G89" s="2">
        <f t="shared" si="8"/>
        <v>1</v>
      </c>
    </row>
    <row r="90" spans="1:7" x14ac:dyDescent="0.35">
      <c r="A90" t="s">
        <v>1563</v>
      </c>
      <c r="B90">
        <v>3</v>
      </c>
      <c r="C90">
        <v>1</v>
      </c>
      <c r="D90">
        <v>6</v>
      </c>
      <c r="E90">
        <f t="shared" si="6"/>
        <v>3</v>
      </c>
      <c r="F90" t="str">
        <f t="shared" si="7"/>
        <v>Stable / Active</v>
      </c>
      <c r="G90" s="2">
        <f t="shared" si="8"/>
        <v>1</v>
      </c>
    </row>
    <row r="91" spans="1:7" x14ac:dyDescent="0.35">
      <c r="A91" t="s">
        <v>1584</v>
      </c>
      <c r="B91">
        <v>1</v>
      </c>
      <c r="C91">
        <v>2</v>
      </c>
      <c r="D91">
        <v>2</v>
      </c>
      <c r="E91">
        <f t="shared" si="6"/>
        <v>1</v>
      </c>
      <c r="F91" t="str">
        <f t="shared" si="7"/>
        <v>Stable / Active</v>
      </c>
      <c r="G91" s="2">
        <f t="shared" si="8"/>
        <v>1</v>
      </c>
    </row>
    <row r="92" spans="1:7" x14ac:dyDescent="0.35">
      <c r="A92" t="s">
        <v>1587</v>
      </c>
      <c r="B92">
        <v>2</v>
      </c>
      <c r="C92">
        <v>2</v>
      </c>
      <c r="D92">
        <v>5</v>
      </c>
      <c r="E92">
        <f t="shared" si="6"/>
        <v>2</v>
      </c>
      <c r="F92" t="str">
        <f t="shared" si="7"/>
        <v>Stable / Active</v>
      </c>
      <c r="G92" s="2">
        <f t="shared" si="8"/>
        <v>1.5</v>
      </c>
    </row>
    <row r="93" spans="1:7" x14ac:dyDescent="0.35">
      <c r="A93" t="s">
        <v>1583</v>
      </c>
      <c r="B93">
        <v>1</v>
      </c>
      <c r="C93">
        <v>3</v>
      </c>
      <c r="D93">
        <v>3</v>
      </c>
      <c r="E93">
        <f t="shared" si="6"/>
        <v>1</v>
      </c>
      <c r="F93" t="str">
        <f t="shared" si="7"/>
        <v>Stable / Active</v>
      </c>
      <c r="G93" s="2">
        <f t="shared" si="8"/>
        <v>2</v>
      </c>
    </row>
    <row r="94" spans="1:7" x14ac:dyDescent="0.35">
      <c r="A94" t="s">
        <v>1544</v>
      </c>
      <c r="B94">
        <v>1</v>
      </c>
      <c r="C94">
        <v>6</v>
      </c>
      <c r="D94">
        <v>13</v>
      </c>
      <c r="E94">
        <f t="shared" si="6"/>
        <v>1</v>
      </c>
      <c r="F94" t="str">
        <f t="shared" si="7"/>
        <v>Stable / Active</v>
      </c>
      <c r="G94" s="2">
        <f t="shared" si="8"/>
        <v>12</v>
      </c>
    </row>
    <row r="95" spans="1:7" x14ac:dyDescent="0.35">
      <c r="A95" t="s">
        <v>1594</v>
      </c>
      <c r="B95">
        <v>1</v>
      </c>
      <c r="C95">
        <v>5</v>
      </c>
      <c r="D95">
        <v>14</v>
      </c>
      <c r="E95">
        <f t="shared" si="6"/>
        <v>1</v>
      </c>
      <c r="F95" t="str">
        <f t="shared" si="7"/>
        <v>Stable / Active</v>
      </c>
      <c r="G95" s="2">
        <f t="shared" si="8"/>
        <v>13</v>
      </c>
    </row>
  </sheetData>
  <autoFilter ref="A2:G95" xr:uid="{DB0F462C-1152-4AF3-89DA-C07201C3542A}"/>
  <sortState xmlns:xlrd2="http://schemas.microsoft.com/office/spreadsheetml/2017/richdata2" ref="A3:G95">
    <sortCondition ref="G3:G95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404E9-E6ED-4F7F-B607-EFBD88B6218C}">
  <dimension ref="A1:B7"/>
  <sheetViews>
    <sheetView workbookViewId="0">
      <selection activeCell="B5" sqref="B5"/>
    </sheetView>
  </sheetViews>
  <sheetFormatPr defaultRowHeight="14.5" x14ac:dyDescent="0.35"/>
  <cols>
    <col min="1" max="1" width="20.453125" bestFit="1" customWidth="1"/>
  </cols>
  <sheetData>
    <row r="1" spans="1:2" x14ac:dyDescent="0.35">
      <c r="A1" t="s">
        <v>1663</v>
      </c>
      <c r="B1" t="s">
        <v>1664</v>
      </c>
    </row>
    <row r="2" spans="1:2" x14ac:dyDescent="0.35">
      <c r="A2" t="s">
        <v>1665</v>
      </c>
      <c r="B2" s="11">
        <f>'Recovery Analysis'!G14</f>
        <v>93</v>
      </c>
    </row>
    <row r="3" spans="1:2" x14ac:dyDescent="0.35">
      <c r="A3" s="5" t="s">
        <v>1666</v>
      </c>
      <c r="B3" s="11">
        <f>'Recovery Analysis'!G15</f>
        <v>524</v>
      </c>
    </row>
    <row r="4" spans="1:2" x14ac:dyDescent="0.35">
      <c r="A4" s="5" t="s">
        <v>1667</v>
      </c>
      <c r="B4" s="11">
        <f>'Recovery Analysis'!G16</f>
        <v>568</v>
      </c>
    </row>
    <row r="5" spans="1:2" x14ac:dyDescent="0.35">
      <c r="A5" t="s">
        <v>1668</v>
      </c>
      <c r="B5" s="12">
        <f>(B4-B3)/B3</f>
        <v>8.3969465648854963E-2</v>
      </c>
    </row>
    <row r="6" spans="1:2" x14ac:dyDescent="0.35">
      <c r="A6" t="s">
        <v>1669</v>
      </c>
      <c r="B6" s="11">
        <f>23+8</f>
        <v>31</v>
      </c>
    </row>
    <row r="7" spans="1:2" x14ac:dyDescent="0.35">
      <c r="A7" t="s">
        <v>1670</v>
      </c>
      <c r="B7" s="12">
        <f>B6/B2</f>
        <v>0.33333333333333331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2D1B6-D0E6-426C-955F-5F31008E22F1}">
  <dimension ref="A1:E1432"/>
  <sheetViews>
    <sheetView workbookViewId="0">
      <selection activeCell="E8" sqref="E8"/>
    </sheetView>
  </sheetViews>
  <sheetFormatPr defaultRowHeight="14.5" x14ac:dyDescent="0.35"/>
  <cols>
    <col min="1" max="1" width="11.1796875" bestFit="1" customWidth="1"/>
    <col min="2" max="2" width="24" bestFit="1" customWidth="1"/>
    <col min="3" max="3" width="29.36328125" bestFit="1" customWidth="1"/>
    <col min="4" max="4" width="11.08984375" bestFit="1" customWidth="1"/>
    <col min="5" max="5" width="9.36328125" bestFit="1" customWidth="1"/>
  </cols>
  <sheetData>
    <row r="1" spans="1:5" x14ac:dyDescent="0.35">
      <c r="A1" t="s">
        <v>0</v>
      </c>
      <c r="B1" t="s">
        <v>1628</v>
      </c>
      <c r="C1" t="s">
        <v>9</v>
      </c>
      <c r="D1" t="s">
        <v>1627</v>
      </c>
      <c r="E1" t="s">
        <v>1</v>
      </c>
    </row>
    <row r="2" spans="1:5" x14ac:dyDescent="0.35">
      <c r="A2" t="s">
        <v>103</v>
      </c>
      <c r="B2" t="s">
        <v>1534</v>
      </c>
      <c r="C2" t="s">
        <v>10</v>
      </c>
      <c r="D2">
        <v>66100</v>
      </c>
      <c r="E2" t="s">
        <v>2</v>
      </c>
    </row>
    <row r="3" spans="1:5" x14ac:dyDescent="0.35">
      <c r="A3" t="s">
        <v>104</v>
      </c>
      <c r="B3" t="s">
        <v>1535</v>
      </c>
      <c r="C3" t="s">
        <v>11</v>
      </c>
      <c r="D3">
        <v>113300</v>
      </c>
      <c r="E3" t="s">
        <v>2</v>
      </c>
    </row>
    <row r="4" spans="1:5" x14ac:dyDescent="0.35">
      <c r="A4" t="s">
        <v>105</v>
      </c>
      <c r="B4" t="s">
        <v>1535</v>
      </c>
      <c r="C4" t="s">
        <v>11</v>
      </c>
      <c r="D4">
        <v>92500</v>
      </c>
      <c r="E4" t="s">
        <v>2</v>
      </c>
    </row>
    <row r="5" spans="1:5" x14ac:dyDescent="0.35">
      <c r="A5" t="s">
        <v>106</v>
      </c>
      <c r="B5" t="s">
        <v>1536</v>
      </c>
      <c r="C5" t="s">
        <v>12</v>
      </c>
      <c r="D5">
        <v>141300</v>
      </c>
      <c r="E5" t="s">
        <v>2</v>
      </c>
    </row>
    <row r="6" spans="1:5" x14ac:dyDescent="0.35">
      <c r="A6" t="s">
        <v>107</v>
      </c>
      <c r="B6" t="s">
        <v>1537</v>
      </c>
      <c r="C6" t="s">
        <v>13</v>
      </c>
      <c r="D6">
        <v>52500</v>
      </c>
      <c r="E6" t="s">
        <v>2</v>
      </c>
    </row>
    <row r="7" spans="1:5" x14ac:dyDescent="0.35">
      <c r="A7" t="s">
        <v>108</v>
      </c>
      <c r="B7" t="s">
        <v>1537</v>
      </c>
      <c r="C7" t="s">
        <v>13</v>
      </c>
      <c r="D7">
        <v>204600</v>
      </c>
      <c r="E7" t="s">
        <v>2</v>
      </c>
    </row>
    <row r="8" spans="1:5" x14ac:dyDescent="0.35">
      <c r="A8" t="s">
        <v>109</v>
      </c>
      <c r="B8" t="s">
        <v>1538</v>
      </c>
      <c r="C8" t="s">
        <v>14</v>
      </c>
      <c r="D8">
        <v>131900</v>
      </c>
      <c r="E8" t="s">
        <v>2</v>
      </c>
    </row>
    <row r="9" spans="1:5" x14ac:dyDescent="0.35">
      <c r="A9" t="s">
        <v>110</v>
      </c>
      <c r="B9" t="s">
        <v>1539</v>
      </c>
      <c r="C9" t="s">
        <v>15</v>
      </c>
      <c r="D9">
        <v>49300</v>
      </c>
      <c r="E9" t="s">
        <v>2</v>
      </c>
    </row>
    <row r="10" spans="1:5" x14ac:dyDescent="0.35">
      <c r="A10" t="s">
        <v>111</v>
      </c>
      <c r="B10" t="s">
        <v>1540</v>
      </c>
      <c r="C10" t="s">
        <v>16</v>
      </c>
      <c r="D10">
        <v>52000</v>
      </c>
      <c r="E10" t="s">
        <v>2</v>
      </c>
    </row>
    <row r="11" spans="1:5" x14ac:dyDescent="0.35">
      <c r="A11" t="s">
        <v>112</v>
      </c>
      <c r="B11" t="s">
        <v>1540</v>
      </c>
      <c r="C11" t="s">
        <v>16</v>
      </c>
      <c r="D11">
        <v>39400</v>
      </c>
      <c r="E11" t="s">
        <v>2</v>
      </c>
    </row>
    <row r="12" spans="1:5" x14ac:dyDescent="0.35">
      <c r="A12" t="s">
        <v>113</v>
      </c>
      <c r="B12" t="s">
        <v>1541</v>
      </c>
      <c r="C12" t="s">
        <v>17</v>
      </c>
      <c r="D12">
        <v>102000</v>
      </c>
      <c r="E12" t="s">
        <v>2</v>
      </c>
    </row>
    <row r="13" spans="1:5" x14ac:dyDescent="0.35">
      <c r="A13" t="s">
        <v>114</v>
      </c>
      <c r="B13" t="s">
        <v>1542</v>
      </c>
      <c r="C13" t="s">
        <v>18</v>
      </c>
      <c r="D13">
        <v>41400</v>
      </c>
      <c r="E13" t="s">
        <v>2</v>
      </c>
    </row>
    <row r="14" spans="1:5" x14ac:dyDescent="0.35">
      <c r="A14" t="s">
        <v>115</v>
      </c>
      <c r="B14" t="s">
        <v>1543</v>
      </c>
      <c r="C14" t="s">
        <v>19</v>
      </c>
      <c r="D14">
        <v>55700</v>
      </c>
      <c r="E14" t="s">
        <v>2</v>
      </c>
    </row>
    <row r="15" spans="1:5" x14ac:dyDescent="0.35">
      <c r="A15" t="s">
        <v>116</v>
      </c>
      <c r="B15" t="s">
        <v>1542</v>
      </c>
      <c r="C15" t="s">
        <v>18</v>
      </c>
      <c r="D15">
        <v>69300</v>
      </c>
      <c r="E15" t="s">
        <v>2</v>
      </c>
    </row>
    <row r="16" spans="1:5" x14ac:dyDescent="0.35">
      <c r="A16" t="s">
        <v>117</v>
      </c>
      <c r="B16" t="s">
        <v>1540</v>
      </c>
      <c r="C16" t="s">
        <v>16</v>
      </c>
      <c r="D16">
        <v>43100</v>
      </c>
      <c r="E16" t="s">
        <v>2</v>
      </c>
    </row>
    <row r="17" spans="1:5" x14ac:dyDescent="0.35">
      <c r="A17" t="s">
        <v>118</v>
      </c>
      <c r="B17" t="s">
        <v>1540</v>
      </c>
      <c r="C17" t="s">
        <v>16</v>
      </c>
      <c r="D17">
        <v>59700</v>
      </c>
      <c r="E17" t="s">
        <v>2</v>
      </c>
    </row>
    <row r="18" spans="1:5" x14ac:dyDescent="0.35">
      <c r="A18" t="s">
        <v>119</v>
      </c>
      <c r="B18" t="s">
        <v>1540</v>
      </c>
      <c r="C18" t="s">
        <v>16</v>
      </c>
      <c r="D18">
        <v>50900</v>
      </c>
      <c r="E18" t="s">
        <v>2</v>
      </c>
    </row>
    <row r="19" spans="1:5" x14ac:dyDescent="0.35">
      <c r="A19" t="s">
        <v>120</v>
      </c>
      <c r="B19" t="s">
        <v>1538</v>
      </c>
      <c r="C19" t="s">
        <v>14</v>
      </c>
      <c r="D19">
        <v>248100</v>
      </c>
      <c r="E19" t="s">
        <v>2</v>
      </c>
    </row>
    <row r="20" spans="1:5" x14ac:dyDescent="0.35">
      <c r="A20" t="s">
        <v>121</v>
      </c>
      <c r="B20" t="s">
        <v>1541</v>
      </c>
      <c r="C20" t="s">
        <v>17</v>
      </c>
      <c r="D20">
        <v>219500</v>
      </c>
      <c r="E20" t="s">
        <v>2</v>
      </c>
    </row>
    <row r="21" spans="1:5" x14ac:dyDescent="0.35">
      <c r="A21" t="s">
        <v>122</v>
      </c>
      <c r="B21" t="s">
        <v>1543</v>
      </c>
      <c r="C21" t="s">
        <v>19</v>
      </c>
      <c r="D21">
        <v>45000</v>
      </c>
      <c r="E21" t="s">
        <v>2</v>
      </c>
    </row>
    <row r="22" spans="1:5" x14ac:dyDescent="0.35">
      <c r="A22" t="s">
        <v>123</v>
      </c>
      <c r="B22" t="s">
        <v>1544</v>
      </c>
      <c r="C22" t="s">
        <v>20</v>
      </c>
      <c r="D22">
        <v>135300</v>
      </c>
      <c r="E22" t="s">
        <v>2</v>
      </c>
    </row>
    <row r="23" spans="1:5" x14ac:dyDescent="0.35">
      <c r="A23" t="s">
        <v>124</v>
      </c>
      <c r="B23" t="s">
        <v>1545</v>
      </c>
      <c r="C23" t="s">
        <v>21</v>
      </c>
      <c r="D23">
        <v>56200</v>
      </c>
      <c r="E23" t="s">
        <v>2</v>
      </c>
    </row>
    <row r="24" spans="1:5" x14ac:dyDescent="0.35">
      <c r="A24" t="s">
        <v>125</v>
      </c>
      <c r="B24" t="s">
        <v>1545</v>
      </c>
      <c r="C24" t="s">
        <v>21</v>
      </c>
      <c r="D24">
        <v>66900</v>
      </c>
      <c r="E24" t="s">
        <v>2</v>
      </c>
    </row>
    <row r="25" spans="1:5" x14ac:dyDescent="0.35">
      <c r="A25" t="s">
        <v>126</v>
      </c>
      <c r="B25" t="s">
        <v>1545</v>
      </c>
      <c r="C25" t="s">
        <v>21</v>
      </c>
      <c r="D25">
        <v>60800</v>
      </c>
      <c r="E25" t="s">
        <v>2</v>
      </c>
    </row>
    <row r="26" spans="1:5" x14ac:dyDescent="0.35">
      <c r="A26" t="s">
        <v>127</v>
      </c>
      <c r="B26" t="s">
        <v>1546</v>
      </c>
      <c r="C26" t="s">
        <v>22</v>
      </c>
      <c r="D26">
        <v>160600</v>
      </c>
      <c r="E26" t="s">
        <v>2</v>
      </c>
    </row>
    <row r="27" spans="1:5" x14ac:dyDescent="0.35">
      <c r="A27" t="s">
        <v>128</v>
      </c>
      <c r="B27" t="s">
        <v>1546</v>
      </c>
      <c r="C27" t="s">
        <v>22</v>
      </c>
      <c r="D27">
        <v>178500</v>
      </c>
      <c r="E27" t="s">
        <v>2</v>
      </c>
    </row>
    <row r="28" spans="1:5" x14ac:dyDescent="0.35">
      <c r="A28" t="s">
        <v>129</v>
      </c>
      <c r="B28" t="s">
        <v>1538</v>
      </c>
      <c r="C28" t="s">
        <v>14</v>
      </c>
      <c r="D28">
        <v>53600</v>
      </c>
      <c r="E28" t="s">
        <v>2</v>
      </c>
    </row>
    <row r="29" spans="1:5" x14ac:dyDescent="0.35">
      <c r="A29" t="s">
        <v>130</v>
      </c>
      <c r="B29" t="s">
        <v>1540</v>
      </c>
      <c r="C29" t="s">
        <v>16</v>
      </c>
      <c r="D29">
        <v>55300</v>
      </c>
      <c r="E29" t="s">
        <v>2</v>
      </c>
    </row>
    <row r="30" spans="1:5" x14ac:dyDescent="0.35">
      <c r="A30" t="s">
        <v>131</v>
      </c>
      <c r="B30" t="s">
        <v>1540</v>
      </c>
      <c r="C30" t="s">
        <v>16</v>
      </c>
      <c r="D30">
        <v>45700</v>
      </c>
      <c r="E30" t="s">
        <v>2</v>
      </c>
    </row>
    <row r="31" spans="1:5" x14ac:dyDescent="0.35">
      <c r="A31" t="s">
        <v>132</v>
      </c>
      <c r="B31" t="s">
        <v>1540</v>
      </c>
      <c r="C31" t="s">
        <v>16</v>
      </c>
      <c r="D31">
        <v>60100</v>
      </c>
      <c r="E31" t="s">
        <v>2</v>
      </c>
    </row>
    <row r="32" spans="1:5" x14ac:dyDescent="0.35">
      <c r="A32" t="s">
        <v>133</v>
      </c>
      <c r="B32" t="s">
        <v>1547</v>
      </c>
      <c r="C32" t="s">
        <v>23</v>
      </c>
      <c r="D32">
        <v>63700</v>
      </c>
      <c r="E32" t="s">
        <v>2</v>
      </c>
    </row>
    <row r="33" spans="1:5" x14ac:dyDescent="0.35">
      <c r="A33" t="s">
        <v>134</v>
      </c>
      <c r="B33" t="s">
        <v>1539</v>
      </c>
      <c r="C33" t="s">
        <v>15</v>
      </c>
      <c r="D33">
        <v>59600</v>
      </c>
      <c r="E33" t="s">
        <v>2</v>
      </c>
    </row>
    <row r="34" spans="1:5" x14ac:dyDescent="0.35">
      <c r="A34" t="s">
        <v>135</v>
      </c>
      <c r="B34" t="s">
        <v>1539</v>
      </c>
      <c r="C34" t="s">
        <v>15</v>
      </c>
      <c r="D34">
        <v>47800</v>
      </c>
      <c r="E34" t="s">
        <v>2</v>
      </c>
    </row>
    <row r="35" spans="1:5" x14ac:dyDescent="0.35">
      <c r="A35" t="s">
        <v>136</v>
      </c>
      <c r="B35" t="s">
        <v>1540</v>
      </c>
      <c r="C35" t="s">
        <v>16</v>
      </c>
      <c r="D35">
        <v>46400</v>
      </c>
      <c r="E35" t="s">
        <v>2</v>
      </c>
    </row>
    <row r="36" spans="1:5" x14ac:dyDescent="0.35">
      <c r="A36" t="s">
        <v>137</v>
      </c>
      <c r="B36" t="s">
        <v>1534</v>
      </c>
      <c r="C36" t="s">
        <v>10</v>
      </c>
      <c r="D36">
        <v>43100</v>
      </c>
      <c r="E36" t="s">
        <v>2</v>
      </c>
    </row>
    <row r="37" spans="1:5" x14ac:dyDescent="0.35">
      <c r="A37" t="s">
        <v>138</v>
      </c>
      <c r="B37" t="s">
        <v>1548</v>
      </c>
      <c r="C37" t="s">
        <v>24</v>
      </c>
      <c r="D37">
        <v>151000</v>
      </c>
      <c r="E37" t="s">
        <v>2</v>
      </c>
    </row>
    <row r="38" spans="1:5" x14ac:dyDescent="0.35">
      <c r="A38" t="s">
        <v>139</v>
      </c>
      <c r="B38" t="s">
        <v>1549</v>
      </c>
      <c r="C38" t="s">
        <v>25</v>
      </c>
      <c r="D38">
        <v>123500</v>
      </c>
      <c r="E38" t="s">
        <v>2</v>
      </c>
    </row>
    <row r="39" spans="1:5" x14ac:dyDescent="0.35">
      <c r="A39" t="s">
        <v>140</v>
      </c>
      <c r="B39" t="s">
        <v>1550</v>
      </c>
      <c r="C39" t="s">
        <v>26</v>
      </c>
      <c r="D39">
        <v>59000</v>
      </c>
      <c r="E39" t="s">
        <v>2</v>
      </c>
    </row>
    <row r="40" spans="1:5" x14ac:dyDescent="0.35">
      <c r="A40" t="s">
        <v>141</v>
      </c>
      <c r="B40" t="s">
        <v>1551</v>
      </c>
      <c r="C40" t="s">
        <v>27</v>
      </c>
      <c r="D40">
        <v>252000</v>
      </c>
      <c r="E40" t="s">
        <v>2</v>
      </c>
    </row>
    <row r="41" spans="1:5" x14ac:dyDescent="0.35">
      <c r="A41" t="s">
        <v>142</v>
      </c>
      <c r="B41" t="s">
        <v>1552</v>
      </c>
      <c r="C41" t="s">
        <v>28</v>
      </c>
      <c r="D41">
        <v>59600</v>
      </c>
      <c r="E41" t="s">
        <v>2</v>
      </c>
    </row>
    <row r="42" spans="1:5" x14ac:dyDescent="0.35">
      <c r="A42" t="s">
        <v>143</v>
      </c>
      <c r="B42" t="s">
        <v>1551</v>
      </c>
      <c r="C42" t="s">
        <v>27</v>
      </c>
      <c r="D42">
        <v>60200</v>
      </c>
      <c r="E42" t="s">
        <v>2</v>
      </c>
    </row>
    <row r="43" spans="1:5" x14ac:dyDescent="0.35">
      <c r="A43" t="s">
        <v>144</v>
      </c>
      <c r="B43" t="s">
        <v>1553</v>
      </c>
      <c r="C43" t="s">
        <v>29</v>
      </c>
      <c r="D43">
        <v>150600</v>
      </c>
      <c r="E43" t="s">
        <v>2</v>
      </c>
    </row>
    <row r="44" spans="1:5" x14ac:dyDescent="0.35">
      <c r="A44" t="s">
        <v>145</v>
      </c>
      <c r="B44" t="s">
        <v>1545</v>
      </c>
      <c r="C44" t="s">
        <v>21</v>
      </c>
      <c r="D44">
        <v>102800</v>
      </c>
      <c r="E44" t="s">
        <v>2</v>
      </c>
    </row>
    <row r="45" spans="1:5" x14ac:dyDescent="0.35">
      <c r="A45" t="s">
        <v>146</v>
      </c>
      <c r="B45" t="s">
        <v>1551</v>
      </c>
      <c r="C45" t="s">
        <v>27</v>
      </c>
      <c r="D45">
        <v>57500</v>
      </c>
      <c r="E45" t="s">
        <v>2</v>
      </c>
    </row>
    <row r="46" spans="1:5" x14ac:dyDescent="0.35">
      <c r="A46" t="s">
        <v>147</v>
      </c>
      <c r="B46" t="s">
        <v>1554</v>
      </c>
      <c r="C46" t="s">
        <v>30</v>
      </c>
      <c r="D46">
        <v>196600</v>
      </c>
      <c r="E46" t="s">
        <v>2</v>
      </c>
    </row>
    <row r="47" spans="1:5" x14ac:dyDescent="0.35">
      <c r="A47" t="s">
        <v>148</v>
      </c>
      <c r="B47" t="s">
        <v>1554</v>
      </c>
      <c r="C47" t="s">
        <v>30</v>
      </c>
      <c r="D47">
        <v>192500</v>
      </c>
      <c r="E47" t="s">
        <v>2</v>
      </c>
    </row>
    <row r="48" spans="1:5" x14ac:dyDescent="0.35">
      <c r="A48" t="s">
        <v>149</v>
      </c>
      <c r="B48" t="s">
        <v>1554</v>
      </c>
      <c r="C48" t="s">
        <v>30</v>
      </c>
      <c r="D48">
        <v>147700</v>
      </c>
      <c r="E48" t="s">
        <v>2</v>
      </c>
    </row>
    <row r="49" spans="1:5" x14ac:dyDescent="0.35">
      <c r="A49" t="s">
        <v>150</v>
      </c>
      <c r="B49" t="s">
        <v>1554</v>
      </c>
      <c r="C49" t="s">
        <v>30</v>
      </c>
      <c r="D49">
        <v>200900</v>
      </c>
      <c r="E49" t="s">
        <v>2</v>
      </c>
    </row>
    <row r="50" spans="1:5" x14ac:dyDescent="0.35">
      <c r="A50" t="s">
        <v>151</v>
      </c>
      <c r="B50" t="s">
        <v>1554</v>
      </c>
      <c r="C50" t="s">
        <v>30</v>
      </c>
      <c r="D50">
        <v>175800</v>
      </c>
      <c r="E50" t="s">
        <v>2</v>
      </c>
    </row>
    <row r="51" spans="1:5" x14ac:dyDescent="0.35">
      <c r="A51" t="s">
        <v>152</v>
      </c>
      <c r="B51" t="s">
        <v>1554</v>
      </c>
      <c r="C51" t="s">
        <v>30</v>
      </c>
      <c r="D51">
        <v>211400</v>
      </c>
      <c r="E51" t="s">
        <v>2</v>
      </c>
    </row>
    <row r="52" spans="1:5" x14ac:dyDescent="0.35">
      <c r="A52" t="s">
        <v>153</v>
      </c>
      <c r="B52" t="s">
        <v>1555</v>
      </c>
      <c r="C52" t="s">
        <v>31</v>
      </c>
      <c r="D52">
        <v>28300</v>
      </c>
      <c r="E52" t="s">
        <v>2</v>
      </c>
    </row>
    <row r="53" spans="1:5" x14ac:dyDescent="0.35">
      <c r="A53" t="s">
        <v>154</v>
      </c>
      <c r="B53" t="s">
        <v>1539</v>
      </c>
      <c r="C53" t="s">
        <v>15</v>
      </c>
      <c r="D53">
        <v>49100</v>
      </c>
      <c r="E53" t="s">
        <v>2</v>
      </c>
    </row>
    <row r="54" spans="1:5" x14ac:dyDescent="0.35">
      <c r="A54" t="s">
        <v>155</v>
      </c>
      <c r="B54" t="s">
        <v>1539</v>
      </c>
      <c r="C54" t="s">
        <v>15</v>
      </c>
      <c r="D54">
        <v>41000</v>
      </c>
      <c r="E54" t="s">
        <v>2</v>
      </c>
    </row>
    <row r="55" spans="1:5" x14ac:dyDescent="0.35">
      <c r="A55" t="s">
        <v>156</v>
      </c>
      <c r="B55" t="s">
        <v>1539</v>
      </c>
      <c r="C55" t="s">
        <v>15</v>
      </c>
      <c r="D55">
        <v>62800</v>
      </c>
      <c r="E55" t="s">
        <v>2</v>
      </c>
    </row>
    <row r="56" spans="1:5" x14ac:dyDescent="0.35">
      <c r="A56" t="s">
        <v>157</v>
      </c>
      <c r="B56" t="s">
        <v>1556</v>
      </c>
      <c r="C56" t="s">
        <v>32</v>
      </c>
      <c r="D56">
        <v>119700</v>
      </c>
      <c r="E56" t="s">
        <v>2</v>
      </c>
    </row>
    <row r="57" spans="1:5" x14ac:dyDescent="0.35">
      <c r="A57" t="s">
        <v>158</v>
      </c>
      <c r="B57" t="s">
        <v>1557</v>
      </c>
      <c r="C57" t="s">
        <v>33</v>
      </c>
      <c r="D57">
        <v>31100</v>
      </c>
      <c r="E57" t="s">
        <v>2</v>
      </c>
    </row>
    <row r="58" spans="1:5" x14ac:dyDescent="0.35">
      <c r="A58" t="s">
        <v>159</v>
      </c>
      <c r="B58" t="s">
        <v>1538</v>
      </c>
      <c r="C58" t="s">
        <v>14</v>
      </c>
      <c r="D58">
        <v>138700</v>
      </c>
      <c r="E58" t="s">
        <v>2</v>
      </c>
    </row>
    <row r="59" spans="1:5" x14ac:dyDescent="0.35">
      <c r="A59" t="s">
        <v>160</v>
      </c>
      <c r="B59" t="s">
        <v>1558</v>
      </c>
      <c r="C59" t="s">
        <v>34</v>
      </c>
      <c r="D59">
        <v>45300</v>
      </c>
      <c r="E59" t="s">
        <v>2</v>
      </c>
    </row>
    <row r="60" spans="1:5" x14ac:dyDescent="0.35">
      <c r="A60" t="s">
        <v>161</v>
      </c>
      <c r="B60" t="s">
        <v>1542</v>
      </c>
      <c r="C60" t="s">
        <v>18</v>
      </c>
      <c r="D60">
        <v>57300</v>
      </c>
      <c r="E60" t="s">
        <v>2</v>
      </c>
    </row>
    <row r="61" spans="1:5" x14ac:dyDescent="0.35">
      <c r="A61" t="s">
        <v>162</v>
      </c>
      <c r="B61" t="s">
        <v>1551</v>
      </c>
      <c r="C61" t="s">
        <v>27</v>
      </c>
      <c r="D61">
        <v>5300</v>
      </c>
      <c r="E61" t="s">
        <v>2</v>
      </c>
    </row>
    <row r="62" spans="1:5" x14ac:dyDescent="0.35">
      <c r="A62" t="s">
        <v>163</v>
      </c>
      <c r="B62" t="s">
        <v>1540</v>
      </c>
      <c r="C62" t="s">
        <v>16</v>
      </c>
      <c r="D62">
        <v>5000</v>
      </c>
      <c r="E62" t="s">
        <v>2</v>
      </c>
    </row>
    <row r="63" spans="1:5" x14ac:dyDescent="0.35">
      <c r="A63" t="s">
        <v>164</v>
      </c>
      <c r="B63" t="s">
        <v>1543</v>
      </c>
      <c r="C63" t="s">
        <v>19</v>
      </c>
      <c r="D63">
        <v>13100</v>
      </c>
      <c r="E63" t="s">
        <v>2</v>
      </c>
    </row>
    <row r="64" spans="1:5" x14ac:dyDescent="0.35">
      <c r="A64" t="s">
        <v>165</v>
      </c>
      <c r="B64" t="s">
        <v>1559</v>
      </c>
      <c r="C64" t="s">
        <v>35</v>
      </c>
      <c r="D64">
        <v>2100</v>
      </c>
      <c r="E64" t="s">
        <v>2</v>
      </c>
    </row>
    <row r="65" spans="1:5" x14ac:dyDescent="0.35">
      <c r="A65" t="s">
        <v>166</v>
      </c>
      <c r="B65" t="s">
        <v>1558</v>
      </c>
      <c r="C65" t="s">
        <v>34</v>
      </c>
      <c r="D65">
        <v>6700</v>
      </c>
      <c r="E65" t="s">
        <v>2</v>
      </c>
    </row>
    <row r="66" spans="1:5" x14ac:dyDescent="0.35">
      <c r="A66" t="s">
        <v>167</v>
      </c>
      <c r="B66" t="s">
        <v>1555</v>
      </c>
      <c r="C66" t="s">
        <v>31</v>
      </c>
      <c r="D66">
        <v>8400</v>
      </c>
      <c r="E66" t="s">
        <v>2</v>
      </c>
    </row>
    <row r="67" spans="1:5" x14ac:dyDescent="0.35">
      <c r="A67" t="s">
        <v>168</v>
      </c>
      <c r="B67" t="s">
        <v>1540</v>
      </c>
      <c r="C67" t="s">
        <v>16</v>
      </c>
      <c r="D67">
        <v>7200</v>
      </c>
      <c r="E67" t="s">
        <v>2</v>
      </c>
    </row>
    <row r="68" spans="1:5" x14ac:dyDescent="0.35">
      <c r="A68" t="s">
        <v>169</v>
      </c>
      <c r="B68" t="s">
        <v>1534</v>
      </c>
      <c r="C68" t="s">
        <v>10</v>
      </c>
      <c r="D68">
        <v>11500</v>
      </c>
      <c r="E68" t="s">
        <v>2</v>
      </c>
    </row>
    <row r="69" spans="1:5" x14ac:dyDescent="0.35">
      <c r="A69" t="s">
        <v>170</v>
      </c>
      <c r="B69" t="s">
        <v>1560</v>
      </c>
      <c r="C69" t="s">
        <v>36</v>
      </c>
      <c r="D69">
        <v>126200</v>
      </c>
      <c r="E69" t="s">
        <v>2</v>
      </c>
    </row>
    <row r="70" spans="1:5" x14ac:dyDescent="0.35">
      <c r="A70" t="s">
        <v>171</v>
      </c>
      <c r="B70" t="s">
        <v>1547</v>
      </c>
      <c r="C70" t="s">
        <v>23</v>
      </c>
      <c r="D70">
        <v>54000</v>
      </c>
      <c r="E70" t="s">
        <v>2</v>
      </c>
    </row>
    <row r="71" spans="1:5" x14ac:dyDescent="0.35">
      <c r="A71" t="s">
        <v>172</v>
      </c>
      <c r="B71" t="s">
        <v>1538</v>
      </c>
      <c r="C71" t="s">
        <v>14</v>
      </c>
      <c r="D71">
        <v>104000</v>
      </c>
      <c r="E71" t="s">
        <v>2</v>
      </c>
    </row>
    <row r="72" spans="1:5" x14ac:dyDescent="0.35">
      <c r="A72" t="s">
        <v>173</v>
      </c>
      <c r="B72" t="s">
        <v>1561</v>
      </c>
      <c r="C72" t="s">
        <v>37</v>
      </c>
      <c r="D72">
        <v>45000</v>
      </c>
      <c r="E72" t="s">
        <v>2</v>
      </c>
    </row>
    <row r="73" spans="1:5" x14ac:dyDescent="0.35">
      <c r="A73" t="s">
        <v>174</v>
      </c>
      <c r="B73" t="s">
        <v>1558</v>
      </c>
      <c r="C73" t="s">
        <v>34</v>
      </c>
      <c r="D73">
        <v>58500</v>
      </c>
      <c r="E73" t="s">
        <v>2</v>
      </c>
    </row>
    <row r="74" spans="1:5" x14ac:dyDescent="0.35">
      <c r="A74" t="s">
        <v>175</v>
      </c>
      <c r="B74" t="s">
        <v>1538</v>
      </c>
      <c r="C74" t="s">
        <v>14</v>
      </c>
      <c r="D74">
        <v>141700</v>
      </c>
      <c r="E74" t="s">
        <v>2</v>
      </c>
    </row>
    <row r="75" spans="1:5" x14ac:dyDescent="0.35">
      <c r="A75" t="s">
        <v>176</v>
      </c>
      <c r="B75" t="s">
        <v>1538</v>
      </c>
      <c r="C75" t="s">
        <v>14</v>
      </c>
      <c r="D75">
        <v>58100</v>
      </c>
      <c r="E75" t="s">
        <v>2</v>
      </c>
    </row>
    <row r="76" spans="1:5" x14ac:dyDescent="0.35">
      <c r="A76" t="s">
        <v>177</v>
      </c>
      <c r="B76" t="s">
        <v>1538</v>
      </c>
      <c r="C76" t="s">
        <v>14</v>
      </c>
      <c r="D76">
        <v>92400</v>
      </c>
      <c r="E76" t="s">
        <v>2</v>
      </c>
    </row>
    <row r="77" spans="1:5" x14ac:dyDescent="0.35">
      <c r="A77" t="s">
        <v>178</v>
      </c>
      <c r="B77" t="s">
        <v>1558</v>
      </c>
      <c r="C77" t="s">
        <v>34</v>
      </c>
      <c r="D77">
        <v>60200</v>
      </c>
      <c r="E77" t="s">
        <v>2</v>
      </c>
    </row>
    <row r="78" spans="1:5" x14ac:dyDescent="0.35">
      <c r="A78" t="s">
        <v>179</v>
      </c>
      <c r="B78" t="s">
        <v>1558</v>
      </c>
      <c r="C78" t="s">
        <v>34</v>
      </c>
      <c r="D78">
        <v>67500</v>
      </c>
      <c r="E78" t="s">
        <v>2</v>
      </c>
    </row>
    <row r="79" spans="1:5" x14ac:dyDescent="0.35">
      <c r="A79" t="s">
        <v>180</v>
      </c>
      <c r="B79" t="s">
        <v>1540</v>
      </c>
      <c r="C79" t="s">
        <v>16</v>
      </c>
      <c r="D79">
        <v>40500</v>
      </c>
      <c r="E79" t="s">
        <v>2</v>
      </c>
    </row>
    <row r="80" spans="1:5" x14ac:dyDescent="0.35">
      <c r="A80" t="s">
        <v>181</v>
      </c>
      <c r="B80" t="s">
        <v>1545</v>
      </c>
      <c r="C80" t="s">
        <v>21</v>
      </c>
      <c r="D80">
        <v>48500</v>
      </c>
      <c r="E80" t="s">
        <v>2</v>
      </c>
    </row>
    <row r="81" spans="1:5" x14ac:dyDescent="0.35">
      <c r="A81" t="s">
        <v>182</v>
      </c>
      <c r="B81" t="s">
        <v>1558</v>
      </c>
      <c r="C81" t="s">
        <v>34</v>
      </c>
      <c r="D81">
        <v>54400</v>
      </c>
      <c r="E81" t="s">
        <v>2</v>
      </c>
    </row>
    <row r="82" spans="1:5" x14ac:dyDescent="0.35">
      <c r="A82" t="s">
        <v>183</v>
      </c>
      <c r="B82" t="s">
        <v>1558</v>
      </c>
      <c r="C82" t="s">
        <v>34</v>
      </c>
      <c r="D82">
        <v>67600</v>
      </c>
      <c r="E82" t="s">
        <v>2</v>
      </c>
    </row>
    <row r="83" spans="1:5" x14ac:dyDescent="0.35">
      <c r="A83" t="s">
        <v>184</v>
      </c>
      <c r="B83" t="s">
        <v>1558</v>
      </c>
      <c r="C83" t="s">
        <v>34</v>
      </c>
      <c r="D83">
        <v>50900</v>
      </c>
      <c r="E83" t="s">
        <v>2</v>
      </c>
    </row>
    <row r="84" spans="1:5" x14ac:dyDescent="0.35">
      <c r="A84" t="s">
        <v>185</v>
      </c>
      <c r="B84" t="s">
        <v>1538</v>
      </c>
      <c r="C84" t="s">
        <v>14</v>
      </c>
      <c r="D84">
        <v>59200</v>
      </c>
      <c r="E84" t="s">
        <v>2</v>
      </c>
    </row>
    <row r="85" spans="1:5" x14ac:dyDescent="0.35">
      <c r="A85" t="s">
        <v>186</v>
      </c>
      <c r="B85" t="s">
        <v>1554</v>
      </c>
      <c r="C85" t="s">
        <v>30</v>
      </c>
      <c r="D85">
        <v>161600</v>
      </c>
      <c r="E85" t="s">
        <v>2</v>
      </c>
    </row>
    <row r="86" spans="1:5" x14ac:dyDescent="0.35">
      <c r="A86" t="s">
        <v>187</v>
      </c>
      <c r="B86" t="s">
        <v>1542</v>
      </c>
      <c r="C86" t="s">
        <v>18</v>
      </c>
      <c r="D86">
        <v>50500</v>
      </c>
      <c r="E86" t="s">
        <v>2</v>
      </c>
    </row>
    <row r="87" spans="1:5" x14ac:dyDescent="0.35">
      <c r="A87" t="s">
        <v>188</v>
      </c>
      <c r="B87" t="s">
        <v>1562</v>
      </c>
      <c r="C87" t="s">
        <v>38</v>
      </c>
      <c r="D87">
        <v>477700</v>
      </c>
      <c r="E87" t="s">
        <v>2</v>
      </c>
    </row>
    <row r="88" spans="1:5" x14ac:dyDescent="0.35">
      <c r="A88" t="s">
        <v>189</v>
      </c>
      <c r="B88" t="s">
        <v>1541</v>
      </c>
      <c r="C88" t="s">
        <v>17</v>
      </c>
      <c r="D88">
        <v>75700</v>
      </c>
      <c r="E88" t="s">
        <v>2</v>
      </c>
    </row>
    <row r="89" spans="1:5" x14ac:dyDescent="0.35">
      <c r="A89" t="s">
        <v>190</v>
      </c>
      <c r="B89" t="s">
        <v>1542</v>
      </c>
      <c r="C89" t="s">
        <v>18</v>
      </c>
      <c r="D89">
        <v>46300</v>
      </c>
      <c r="E89" t="s">
        <v>2</v>
      </c>
    </row>
    <row r="90" spans="1:5" x14ac:dyDescent="0.35">
      <c r="A90" t="s">
        <v>191</v>
      </c>
      <c r="B90" t="s">
        <v>1563</v>
      </c>
      <c r="C90" t="s">
        <v>39</v>
      </c>
      <c r="D90">
        <v>41400</v>
      </c>
      <c r="E90" t="s">
        <v>2</v>
      </c>
    </row>
    <row r="91" spans="1:5" x14ac:dyDescent="0.35">
      <c r="A91" t="s">
        <v>192</v>
      </c>
      <c r="B91" t="s">
        <v>1537</v>
      </c>
      <c r="C91" t="s">
        <v>13</v>
      </c>
      <c r="D91">
        <v>54400</v>
      </c>
      <c r="E91" t="s">
        <v>2</v>
      </c>
    </row>
    <row r="92" spans="1:5" x14ac:dyDescent="0.35">
      <c r="A92" t="s">
        <v>193</v>
      </c>
      <c r="B92" t="s">
        <v>1542</v>
      </c>
      <c r="C92" t="s">
        <v>18</v>
      </c>
      <c r="D92">
        <v>62800</v>
      </c>
      <c r="E92" t="s">
        <v>2</v>
      </c>
    </row>
    <row r="93" spans="1:5" x14ac:dyDescent="0.35">
      <c r="A93" t="s">
        <v>194</v>
      </c>
      <c r="B93" t="s">
        <v>1538</v>
      </c>
      <c r="C93" t="s">
        <v>14</v>
      </c>
      <c r="D93">
        <v>50400</v>
      </c>
      <c r="E93" t="s">
        <v>2</v>
      </c>
    </row>
    <row r="94" spans="1:5" x14ac:dyDescent="0.35">
      <c r="A94" t="s">
        <v>195</v>
      </c>
      <c r="B94" t="s">
        <v>1538</v>
      </c>
      <c r="C94" t="s">
        <v>14</v>
      </c>
      <c r="D94">
        <v>50100</v>
      </c>
      <c r="E94" t="s">
        <v>2</v>
      </c>
    </row>
    <row r="95" spans="1:5" x14ac:dyDescent="0.35">
      <c r="A95" t="s">
        <v>196</v>
      </c>
      <c r="B95" t="s">
        <v>1550</v>
      </c>
      <c r="C95" t="s">
        <v>26</v>
      </c>
      <c r="D95">
        <v>67300</v>
      </c>
      <c r="E95" t="s">
        <v>2</v>
      </c>
    </row>
    <row r="96" spans="1:5" x14ac:dyDescent="0.35">
      <c r="A96" t="s">
        <v>197</v>
      </c>
      <c r="B96" t="s">
        <v>1539</v>
      </c>
      <c r="C96" t="s">
        <v>15</v>
      </c>
      <c r="D96">
        <v>44800</v>
      </c>
      <c r="E96" t="s">
        <v>2</v>
      </c>
    </row>
    <row r="97" spans="1:5" x14ac:dyDescent="0.35">
      <c r="A97" t="s">
        <v>198</v>
      </c>
      <c r="B97" t="s">
        <v>1539</v>
      </c>
      <c r="C97" t="s">
        <v>15</v>
      </c>
      <c r="D97">
        <v>45900</v>
      </c>
      <c r="E97" t="s">
        <v>2</v>
      </c>
    </row>
    <row r="98" spans="1:5" x14ac:dyDescent="0.35">
      <c r="A98" t="s">
        <v>199</v>
      </c>
      <c r="B98" t="s">
        <v>1539</v>
      </c>
      <c r="C98" t="s">
        <v>15</v>
      </c>
      <c r="D98">
        <v>47100</v>
      </c>
      <c r="E98" t="s">
        <v>2</v>
      </c>
    </row>
    <row r="99" spans="1:5" x14ac:dyDescent="0.35">
      <c r="A99" t="s">
        <v>200</v>
      </c>
      <c r="B99" t="s">
        <v>1542</v>
      </c>
      <c r="C99" t="s">
        <v>18</v>
      </c>
      <c r="D99">
        <v>56400</v>
      </c>
      <c r="E99" t="s">
        <v>2</v>
      </c>
    </row>
    <row r="100" spans="1:5" x14ac:dyDescent="0.35">
      <c r="A100" t="s">
        <v>201</v>
      </c>
      <c r="B100" t="s">
        <v>1562</v>
      </c>
      <c r="C100" t="s">
        <v>38</v>
      </c>
      <c r="D100">
        <v>267300</v>
      </c>
      <c r="E100" t="s">
        <v>2</v>
      </c>
    </row>
    <row r="101" spans="1:5" x14ac:dyDescent="0.35">
      <c r="A101" t="s">
        <v>202</v>
      </c>
      <c r="B101" t="s">
        <v>1545</v>
      </c>
      <c r="C101" t="s">
        <v>21</v>
      </c>
      <c r="D101">
        <v>35500</v>
      </c>
      <c r="E101" t="s">
        <v>2</v>
      </c>
    </row>
    <row r="102" spans="1:5" x14ac:dyDescent="0.35">
      <c r="A102" t="s">
        <v>203</v>
      </c>
      <c r="B102" t="s">
        <v>1548</v>
      </c>
      <c r="C102" t="s">
        <v>24</v>
      </c>
      <c r="D102">
        <v>32100</v>
      </c>
      <c r="E102" t="s">
        <v>2</v>
      </c>
    </row>
    <row r="103" spans="1:5" x14ac:dyDescent="0.35">
      <c r="A103" t="s">
        <v>204</v>
      </c>
      <c r="B103" t="s">
        <v>1548</v>
      </c>
      <c r="C103" t="s">
        <v>24</v>
      </c>
      <c r="D103">
        <v>62800</v>
      </c>
      <c r="E103" t="s">
        <v>2</v>
      </c>
    </row>
    <row r="104" spans="1:5" x14ac:dyDescent="0.35">
      <c r="A104" t="s">
        <v>205</v>
      </c>
      <c r="B104" t="s">
        <v>1564</v>
      </c>
      <c r="C104" t="s">
        <v>40</v>
      </c>
      <c r="D104">
        <v>45300</v>
      </c>
      <c r="E104" t="s">
        <v>2</v>
      </c>
    </row>
    <row r="105" spans="1:5" x14ac:dyDescent="0.35">
      <c r="A105" t="s">
        <v>206</v>
      </c>
      <c r="B105" t="s">
        <v>1558</v>
      </c>
      <c r="C105" t="s">
        <v>34</v>
      </c>
      <c r="D105">
        <v>62700</v>
      </c>
      <c r="E105" t="s">
        <v>2</v>
      </c>
    </row>
    <row r="106" spans="1:5" x14ac:dyDescent="0.35">
      <c r="A106" t="s">
        <v>207</v>
      </c>
      <c r="B106" t="s">
        <v>1550</v>
      </c>
      <c r="C106" t="s">
        <v>26</v>
      </c>
      <c r="D106">
        <v>57600</v>
      </c>
      <c r="E106" t="s">
        <v>2</v>
      </c>
    </row>
    <row r="107" spans="1:5" x14ac:dyDescent="0.35">
      <c r="A107" t="s">
        <v>208</v>
      </c>
      <c r="B107" t="s">
        <v>1565</v>
      </c>
      <c r="C107" t="s">
        <v>41</v>
      </c>
      <c r="D107">
        <v>117600</v>
      </c>
      <c r="E107" t="s">
        <v>2</v>
      </c>
    </row>
    <row r="108" spans="1:5" x14ac:dyDescent="0.35">
      <c r="A108" t="s">
        <v>209</v>
      </c>
      <c r="B108" t="s">
        <v>1565</v>
      </c>
      <c r="C108" t="s">
        <v>41</v>
      </c>
      <c r="D108">
        <v>45700</v>
      </c>
      <c r="E108" t="s">
        <v>2</v>
      </c>
    </row>
    <row r="109" spans="1:5" x14ac:dyDescent="0.35">
      <c r="A109" t="s">
        <v>210</v>
      </c>
      <c r="B109" t="s">
        <v>1558</v>
      </c>
      <c r="C109" t="s">
        <v>34</v>
      </c>
      <c r="D109">
        <v>46500</v>
      </c>
      <c r="E109" t="s">
        <v>2</v>
      </c>
    </row>
    <row r="110" spans="1:5" x14ac:dyDescent="0.35">
      <c r="A110" t="s">
        <v>211</v>
      </c>
      <c r="B110" t="s">
        <v>1558</v>
      </c>
      <c r="C110" t="s">
        <v>34</v>
      </c>
      <c r="D110">
        <v>75300</v>
      </c>
      <c r="E110" t="s">
        <v>2</v>
      </c>
    </row>
    <row r="111" spans="1:5" x14ac:dyDescent="0.35">
      <c r="A111" t="s">
        <v>212</v>
      </c>
      <c r="B111" t="s">
        <v>1558</v>
      </c>
      <c r="C111" t="s">
        <v>34</v>
      </c>
      <c r="D111">
        <v>75200</v>
      </c>
      <c r="E111" t="s">
        <v>2</v>
      </c>
    </row>
    <row r="112" spans="1:5" x14ac:dyDescent="0.35">
      <c r="A112" t="s">
        <v>213</v>
      </c>
      <c r="B112" t="s">
        <v>1538</v>
      </c>
      <c r="C112" t="s">
        <v>14</v>
      </c>
      <c r="D112">
        <v>73600</v>
      </c>
      <c r="E112" t="s">
        <v>2</v>
      </c>
    </row>
    <row r="113" spans="1:5" x14ac:dyDescent="0.35">
      <c r="A113" t="s">
        <v>214</v>
      </c>
      <c r="B113" t="s">
        <v>1534</v>
      </c>
      <c r="C113" t="s">
        <v>10</v>
      </c>
      <c r="D113">
        <v>58900</v>
      </c>
      <c r="E113" t="s">
        <v>2</v>
      </c>
    </row>
    <row r="114" spans="1:5" x14ac:dyDescent="0.35">
      <c r="A114" t="s">
        <v>215</v>
      </c>
      <c r="B114" t="s">
        <v>1553</v>
      </c>
      <c r="C114" t="s">
        <v>29</v>
      </c>
      <c r="D114">
        <v>186700</v>
      </c>
      <c r="E114" t="s">
        <v>2</v>
      </c>
    </row>
    <row r="115" spans="1:5" x14ac:dyDescent="0.35">
      <c r="A115" t="s">
        <v>216</v>
      </c>
      <c r="B115" t="s">
        <v>1556</v>
      </c>
      <c r="C115" t="s">
        <v>32</v>
      </c>
      <c r="D115">
        <v>52900</v>
      </c>
      <c r="E115" t="s">
        <v>2</v>
      </c>
    </row>
    <row r="116" spans="1:5" x14ac:dyDescent="0.35">
      <c r="A116" t="s">
        <v>217</v>
      </c>
      <c r="B116" t="s">
        <v>1557</v>
      </c>
      <c r="C116" t="s">
        <v>33</v>
      </c>
      <c r="D116">
        <v>55600</v>
      </c>
      <c r="E116" t="s">
        <v>2</v>
      </c>
    </row>
    <row r="117" spans="1:5" x14ac:dyDescent="0.35">
      <c r="A117" t="s">
        <v>218</v>
      </c>
      <c r="B117" t="s">
        <v>1548</v>
      </c>
      <c r="C117" t="s">
        <v>24</v>
      </c>
      <c r="D117">
        <v>80700</v>
      </c>
      <c r="E117" t="s">
        <v>2</v>
      </c>
    </row>
    <row r="118" spans="1:5" x14ac:dyDescent="0.35">
      <c r="A118" t="s">
        <v>219</v>
      </c>
      <c r="B118" t="s">
        <v>1542</v>
      </c>
      <c r="C118" t="s">
        <v>18</v>
      </c>
      <c r="D118">
        <v>201000</v>
      </c>
      <c r="E118" t="s">
        <v>2</v>
      </c>
    </row>
    <row r="119" spans="1:5" x14ac:dyDescent="0.35">
      <c r="A119" t="s">
        <v>220</v>
      </c>
      <c r="B119" t="s">
        <v>1542</v>
      </c>
      <c r="C119" t="s">
        <v>18</v>
      </c>
      <c r="D119">
        <v>49400</v>
      </c>
      <c r="E119" t="s">
        <v>2</v>
      </c>
    </row>
    <row r="120" spans="1:5" x14ac:dyDescent="0.35">
      <c r="A120" t="s">
        <v>221</v>
      </c>
      <c r="B120" t="s">
        <v>1542</v>
      </c>
      <c r="C120" t="s">
        <v>18</v>
      </c>
      <c r="D120">
        <v>27100</v>
      </c>
      <c r="E120" t="s">
        <v>2</v>
      </c>
    </row>
    <row r="121" spans="1:5" x14ac:dyDescent="0.35">
      <c r="A121" t="s">
        <v>222</v>
      </c>
      <c r="B121" t="s">
        <v>1542</v>
      </c>
      <c r="C121" t="s">
        <v>18</v>
      </c>
      <c r="D121">
        <v>31100</v>
      </c>
      <c r="E121" t="s">
        <v>2</v>
      </c>
    </row>
    <row r="122" spans="1:5" x14ac:dyDescent="0.35">
      <c r="A122" t="s">
        <v>223</v>
      </c>
      <c r="B122" t="s">
        <v>1542</v>
      </c>
      <c r="C122" t="s">
        <v>18</v>
      </c>
      <c r="D122">
        <v>130100</v>
      </c>
      <c r="E122" t="s">
        <v>2</v>
      </c>
    </row>
    <row r="123" spans="1:5" x14ac:dyDescent="0.35">
      <c r="A123" t="s">
        <v>224</v>
      </c>
      <c r="B123" t="s">
        <v>1542</v>
      </c>
      <c r="C123" t="s">
        <v>18</v>
      </c>
      <c r="D123">
        <v>44200</v>
      </c>
      <c r="E123" t="s">
        <v>2</v>
      </c>
    </row>
    <row r="124" spans="1:5" x14ac:dyDescent="0.35">
      <c r="A124" t="s">
        <v>225</v>
      </c>
      <c r="B124" t="s">
        <v>1562</v>
      </c>
      <c r="C124" t="s">
        <v>38</v>
      </c>
      <c r="D124">
        <v>111600</v>
      </c>
      <c r="E124" t="s">
        <v>2</v>
      </c>
    </row>
    <row r="125" spans="1:5" x14ac:dyDescent="0.35">
      <c r="A125" t="s">
        <v>226</v>
      </c>
      <c r="B125" t="s">
        <v>1545</v>
      </c>
      <c r="C125" t="s">
        <v>21</v>
      </c>
      <c r="D125">
        <v>37900</v>
      </c>
      <c r="E125" t="s">
        <v>2</v>
      </c>
    </row>
    <row r="126" spans="1:5" x14ac:dyDescent="0.35">
      <c r="A126" t="s">
        <v>227</v>
      </c>
      <c r="B126" t="s">
        <v>1545</v>
      </c>
      <c r="C126" t="s">
        <v>21</v>
      </c>
      <c r="D126">
        <v>56100</v>
      </c>
      <c r="E126" t="s">
        <v>2</v>
      </c>
    </row>
    <row r="127" spans="1:5" x14ac:dyDescent="0.35">
      <c r="A127" t="s">
        <v>228</v>
      </c>
      <c r="B127" t="s">
        <v>1545</v>
      </c>
      <c r="C127" t="s">
        <v>21</v>
      </c>
      <c r="D127">
        <v>49800</v>
      </c>
      <c r="E127" t="s">
        <v>2</v>
      </c>
    </row>
    <row r="128" spans="1:5" x14ac:dyDescent="0.35">
      <c r="A128" t="s">
        <v>229</v>
      </c>
      <c r="B128" t="s">
        <v>1550</v>
      </c>
      <c r="C128" t="s">
        <v>26</v>
      </c>
      <c r="D128">
        <v>74700</v>
      </c>
      <c r="E128" t="s">
        <v>2</v>
      </c>
    </row>
    <row r="129" spans="1:5" x14ac:dyDescent="0.35">
      <c r="A129" t="s">
        <v>230</v>
      </c>
      <c r="B129" t="s">
        <v>1541</v>
      </c>
      <c r="C129" t="s">
        <v>17</v>
      </c>
      <c r="D129">
        <v>261800</v>
      </c>
      <c r="E129" t="s">
        <v>2</v>
      </c>
    </row>
    <row r="130" spans="1:5" x14ac:dyDescent="0.35">
      <c r="A130" t="s">
        <v>231</v>
      </c>
      <c r="B130" t="s">
        <v>1540</v>
      </c>
      <c r="C130" t="s">
        <v>16</v>
      </c>
      <c r="D130">
        <v>63700</v>
      </c>
      <c r="E130" t="s">
        <v>2</v>
      </c>
    </row>
    <row r="131" spans="1:5" x14ac:dyDescent="0.35">
      <c r="A131" t="s">
        <v>232</v>
      </c>
      <c r="B131" t="s">
        <v>1540</v>
      </c>
      <c r="C131" t="s">
        <v>16</v>
      </c>
      <c r="D131">
        <v>181800</v>
      </c>
      <c r="E131" t="s">
        <v>2</v>
      </c>
    </row>
    <row r="132" spans="1:5" x14ac:dyDescent="0.35">
      <c r="A132" t="s">
        <v>233</v>
      </c>
      <c r="B132" t="s">
        <v>1540</v>
      </c>
      <c r="C132" t="s">
        <v>16</v>
      </c>
      <c r="D132">
        <v>59800</v>
      </c>
      <c r="E132" t="s">
        <v>2</v>
      </c>
    </row>
    <row r="133" spans="1:5" x14ac:dyDescent="0.35">
      <c r="A133" t="s">
        <v>234</v>
      </c>
      <c r="B133" t="s">
        <v>1539</v>
      </c>
      <c r="C133" t="s">
        <v>15</v>
      </c>
      <c r="D133">
        <v>37800</v>
      </c>
      <c r="E133" t="s">
        <v>2</v>
      </c>
    </row>
    <row r="134" spans="1:5" x14ac:dyDescent="0.35">
      <c r="A134" t="s">
        <v>235</v>
      </c>
      <c r="B134" t="s">
        <v>1558</v>
      </c>
      <c r="C134" t="s">
        <v>34</v>
      </c>
      <c r="D134">
        <v>50600</v>
      </c>
      <c r="E134" t="s">
        <v>2</v>
      </c>
    </row>
    <row r="135" spans="1:5" x14ac:dyDescent="0.35">
      <c r="A135" t="s">
        <v>236</v>
      </c>
      <c r="B135" t="s">
        <v>1540</v>
      </c>
      <c r="C135" t="s">
        <v>16</v>
      </c>
      <c r="D135">
        <v>39200</v>
      </c>
      <c r="E135" t="s">
        <v>2</v>
      </c>
    </row>
    <row r="136" spans="1:5" x14ac:dyDescent="0.35">
      <c r="A136" t="s">
        <v>237</v>
      </c>
      <c r="B136" t="s">
        <v>1566</v>
      </c>
      <c r="C136" t="s">
        <v>42</v>
      </c>
      <c r="D136">
        <v>39200</v>
      </c>
      <c r="E136" t="s">
        <v>2</v>
      </c>
    </row>
    <row r="137" spans="1:5" x14ac:dyDescent="0.35">
      <c r="A137" t="s">
        <v>238</v>
      </c>
      <c r="B137" t="s">
        <v>1541</v>
      </c>
      <c r="C137" t="s">
        <v>17</v>
      </c>
      <c r="D137">
        <v>146800</v>
      </c>
      <c r="E137" t="s">
        <v>2</v>
      </c>
    </row>
    <row r="138" spans="1:5" x14ac:dyDescent="0.35">
      <c r="A138" t="s">
        <v>239</v>
      </c>
      <c r="B138" t="s">
        <v>1545</v>
      </c>
      <c r="C138" t="s">
        <v>21</v>
      </c>
      <c r="D138">
        <v>52400</v>
      </c>
      <c r="E138" t="s">
        <v>2</v>
      </c>
    </row>
    <row r="139" spans="1:5" x14ac:dyDescent="0.35">
      <c r="A139" t="s">
        <v>240</v>
      </c>
      <c r="B139" t="s">
        <v>1545</v>
      </c>
      <c r="C139" t="s">
        <v>21</v>
      </c>
      <c r="D139">
        <v>46900</v>
      </c>
      <c r="E139" t="s">
        <v>2</v>
      </c>
    </row>
    <row r="140" spans="1:5" x14ac:dyDescent="0.35">
      <c r="A140" t="s">
        <v>241</v>
      </c>
      <c r="B140" t="s">
        <v>1545</v>
      </c>
      <c r="C140" t="s">
        <v>21</v>
      </c>
      <c r="D140">
        <v>21100</v>
      </c>
      <c r="E140" t="s">
        <v>2</v>
      </c>
    </row>
    <row r="141" spans="1:5" x14ac:dyDescent="0.35">
      <c r="A141" t="s">
        <v>242</v>
      </c>
      <c r="B141" t="s">
        <v>1545</v>
      </c>
      <c r="C141" t="s">
        <v>21</v>
      </c>
      <c r="D141">
        <v>31400</v>
      </c>
      <c r="E141" t="s">
        <v>2</v>
      </c>
    </row>
    <row r="142" spans="1:5" x14ac:dyDescent="0.35">
      <c r="A142" t="s">
        <v>243</v>
      </c>
      <c r="B142" t="s">
        <v>1543</v>
      </c>
      <c r="C142" t="s">
        <v>19</v>
      </c>
      <c r="D142">
        <v>54700</v>
      </c>
      <c r="E142" t="s">
        <v>2</v>
      </c>
    </row>
    <row r="143" spans="1:5" x14ac:dyDescent="0.35">
      <c r="A143" t="s">
        <v>244</v>
      </c>
      <c r="B143" t="s">
        <v>1543</v>
      </c>
      <c r="C143" t="s">
        <v>19</v>
      </c>
      <c r="D143">
        <v>59500</v>
      </c>
      <c r="E143" t="s">
        <v>2</v>
      </c>
    </row>
    <row r="144" spans="1:5" x14ac:dyDescent="0.35">
      <c r="A144" t="s">
        <v>245</v>
      </c>
      <c r="B144" t="s">
        <v>1540</v>
      </c>
      <c r="C144" t="s">
        <v>16</v>
      </c>
      <c r="D144">
        <v>206200</v>
      </c>
      <c r="E144" t="s">
        <v>2</v>
      </c>
    </row>
    <row r="145" spans="1:5" x14ac:dyDescent="0.35">
      <c r="A145" t="s">
        <v>246</v>
      </c>
      <c r="B145" t="s">
        <v>1539</v>
      </c>
      <c r="C145" t="s">
        <v>15</v>
      </c>
      <c r="D145">
        <v>38400</v>
      </c>
      <c r="E145" t="s">
        <v>2</v>
      </c>
    </row>
    <row r="146" spans="1:5" x14ac:dyDescent="0.35">
      <c r="A146" t="s">
        <v>247</v>
      </c>
      <c r="B146" t="s">
        <v>1539</v>
      </c>
      <c r="C146" t="s">
        <v>15</v>
      </c>
      <c r="D146">
        <v>58600</v>
      </c>
      <c r="E146" t="s">
        <v>2</v>
      </c>
    </row>
    <row r="147" spans="1:5" x14ac:dyDescent="0.35">
      <c r="A147" t="s">
        <v>248</v>
      </c>
      <c r="B147" t="s">
        <v>1543</v>
      </c>
      <c r="C147" t="s">
        <v>19</v>
      </c>
      <c r="D147">
        <v>102300</v>
      </c>
      <c r="E147" t="s">
        <v>2</v>
      </c>
    </row>
    <row r="148" spans="1:5" x14ac:dyDescent="0.35">
      <c r="A148" t="s">
        <v>249</v>
      </c>
      <c r="B148" t="s">
        <v>1543</v>
      </c>
      <c r="C148" t="s">
        <v>19</v>
      </c>
      <c r="D148">
        <v>33100</v>
      </c>
      <c r="E148" t="s">
        <v>2</v>
      </c>
    </row>
    <row r="149" spans="1:5" x14ac:dyDescent="0.35">
      <c r="A149" t="s">
        <v>250</v>
      </c>
      <c r="B149" t="s">
        <v>1540</v>
      </c>
      <c r="C149" t="s">
        <v>16</v>
      </c>
      <c r="D149">
        <v>46500</v>
      </c>
      <c r="E149" t="s">
        <v>2</v>
      </c>
    </row>
    <row r="150" spans="1:5" x14ac:dyDescent="0.35">
      <c r="A150" t="s">
        <v>251</v>
      </c>
      <c r="B150" t="s">
        <v>1534</v>
      </c>
      <c r="C150" t="s">
        <v>10</v>
      </c>
      <c r="D150">
        <v>72200</v>
      </c>
      <c r="E150" t="s">
        <v>2</v>
      </c>
    </row>
    <row r="151" spans="1:5" x14ac:dyDescent="0.35">
      <c r="A151" t="s">
        <v>252</v>
      </c>
      <c r="B151" t="s">
        <v>1556</v>
      </c>
      <c r="C151" t="s">
        <v>32</v>
      </c>
      <c r="D151">
        <v>212300</v>
      </c>
      <c r="E151" t="s">
        <v>2</v>
      </c>
    </row>
    <row r="152" spans="1:5" x14ac:dyDescent="0.35">
      <c r="A152" t="s">
        <v>253</v>
      </c>
      <c r="B152" t="s">
        <v>1543</v>
      </c>
      <c r="C152" t="s">
        <v>19</v>
      </c>
      <c r="D152">
        <v>58100</v>
      </c>
      <c r="E152" t="s">
        <v>2</v>
      </c>
    </row>
    <row r="153" spans="1:5" x14ac:dyDescent="0.35">
      <c r="A153" t="s">
        <v>254</v>
      </c>
      <c r="B153" t="s">
        <v>1543</v>
      </c>
      <c r="C153" t="s">
        <v>19</v>
      </c>
      <c r="D153">
        <v>58100</v>
      </c>
      <c r="E153" t="s">
        <v>2</v>
      </c>
    </row>
    <row r="154" spans="1:5" x14ac:dyDescent="0.35">
      <c r="A154" t="s">
        <v>255</v>
      </c>
      <c r="B154" t="s">
        <v>1543</v>
      </c>
      <c r="C154" t="s">
        <v>19</v>
      </c>
      <c r="D154">
        <v>57200</v>
      </c>
      <c r="E154" t="s">
        <v>2</v>
      </c>
    </row>
    <row r="155" spans="1:5" x14ac:dyDescent="0.35">
      <c r="A155" t="s">
        <v>256</v>
      </c>
      <c r="B155" t="s">
        <v>1543</v>
      </c>
      <c r="C155" t="s">
        <v>19</v>
      </c>
      <c r="D155">
        <v>76100</v>
      </c>
      <c r="E155" t="s">
        <v>2</v>
      </c>
    </row>
    <row r="156" spans="1:5" x14ac:dyDescent="0.35">
      <c r="A156" t="s">
        <v>257</v>
      </c>
      <c r="B156" t="s">
        <v>1543</v>
      </c>
      <c r="C156" t="s">
        <v>19</v>
      </c>
      <c r="D156">
        <v>183300</v>
      </c>
      <c r="E156" t="s">
        <v>2</v>
      </c>
    </row>
    <row r="157" spans="1:5" x14ac:dyDescent="0.35">
      <c r="A157" t="s">
        <v>258</v>
      </c>
      <c r="B157" t="s">
        <v>1543</v>
      </c>
      <c r="C157" t="s">
        <v>19</v>
      </c>
      <c r="D157">
        <v>189000</v>
      </c>
      <c r="E157" t="s">
        <v>2</v>
      </c>
    </row>
    <row r="158" spans="1:5" x14ac:dyDescent="0.35">
      <c r="A158" t="s">
        <v>259</v>
      </c>
      <c r="B158" t="s">
        <v>1543</v>
      </c>
      <c r="C158" t="s">
        <v>19</v>
      </c>
      <c r="D158">
        <v>46200</v>
      </c>
      <c r="E158" t="s">
        <v>2</v>
      </c>
    </row>
    <row r="159" spans="1:5" x14ac:dyDescent="0.35">
      <c r="A159" t="s">
        <v>260</v>
      </c>
      <c r="B159" t="s">
        <v>1543</v>
      </c>
      <c r="C159" t="s">
        <v>19</v>
      </c>
      <c r="D159">
        <v>64900</v>
      </c>
      <c r="E159" t="s">
        <v>2</v>
      </c>
    </row>
    <row r="160" spans="1:5" x14ac:dyDescent="0.35">
      <c r="A160" t="s">
        <v>261</v>
      </c>
      <c r="B160" t="s">
        <v>1557</v>
      </c>
      <c r="C160" t="s">
        <v>33</v>
      </c>
      <c r="D160">
        <v>67100</v>
      </c>
      <c r="E160" t="s">
        <v>2</v>
      </c>
    </row>
    <row r="161" spans="1:5" x14ac:dyDescent="0.35">
      <c r="A161" t="s">
        <v>262</v>
      </c>
      <c r="B161" t="s">
        <v>1557</v>
      </c>
      <c r="C161" t="s">
        <v>33</v>
      </c>
      <c r="D161">
        <v>64800</v>
      </c>
      <c r="E161" t="s">
        <v>2</v>
      </c>
    </row>
    <row r="162" spans="1:5" x14ac:dyDescent="0.35">
      <c r="A162" t="s">
        <v>263</v>
      </c>
      <c r="B162" t="s">
        <v>1538</v>
      </c>
      <c r="C162" t="s">
        <v>14</v>
      </c>
      <c r="D162">
        <v>48700</v>
      </c>
      <c r="E162" t="s">
        <v>2</v>
      </c>
    </row>
    <row r="163" spans="1:5" x14ac:dyDescent="0.35">
      <c r="A163" t="s">
        <v>264</v>
      </c>
      <c r="B163" t="s">
        <v>1562</v>
      </c>
      <c r="C163" t="s">
        <v>38</v>
      </c>
      <c r="D163">
        <v>46800</v>
      </c>
      <c r="E163" t="s">
        <v>2</v>
      </c>
    </row>
    <row r="164" spans="1:5" x14ac:dyDescent="0.35">
      <c r="A164" t="s">
        <v>265</v>
      </c>
      <c r="B164" t="s">
        <v>1543</v>
      </c>
      <c r="C164" t="s">
        <v>19</v>
      </c>
      <c r="D164">
        <v>191700</v>
      </c>
      <c r="E164" t="s">
        <v>2</v>
      </c>
    </row>
    <row r="165" spans="1:5" x14ac:dyDescent="0.35">
      <c r="A165" t="s">
        <v>266</v>
      </c>
      <c r="B165" t="s">
        <v>1543</v>
      </c>
      <c r="C165" t="s">
        <v>19</v>
      </c>
      <c r="D165">
        <v>139800</v>
      </c>
      <c r="E165" t="s">
        <v>2</v>
      </c>
    </row>
    <row r="166" spans="1:5" x14ac:dyDescent="0.35">
      <c r="A166" t="s">
        <v>267</v>
      </c>
      <c r="B166" t="s">
        <v>1540</v>
      </c>
      <c r="C166" t="s">
        <v>16</v>
      </c>
      <c r="D166">
        <v>292600</v>
      </c>
      <c r="E166" t="s">
        <v>2</v>
      </c>
    </row>
    <row r="167" spans="1:5" x14ac:dyDescent="0.35">
      <c r="A167" t="s">
        <v>268</v>
      </c>
      <c r="B167" t="s">
        <v>1545</v>
      </c>
      <c r="C167" t="s">
        <v>21</v>
      </c>
      <c r="D167">
        <v>47800</v>
      </c>
      <c r="E167" t="s">
        <v>2</v>
      </c>
    </row>
    <row r="168" spans="1:5" x14ac:dyDescent="0.35">
      <c r="A168" t="s">
        <v>269</v>
      </c>
      <c r="B168" t="s">
        <v>1567</v>
      </c>
      <c r="C168" t="s">
        <v>43</v>
      </c>
      <c r="D168">
        <v>50600</v>
      </c>
      <c r="E168" t="s">
        <v>2</v>
      </c>
    </row>
    <row r="169" spans="1:5" x14ac:dyDescent="0.35">
      <c r="A169" t="s">
        <v>270</v>
      </c>
      <c r="B169" t="s">
        <v>1567</v>
      </c>
      <c r="C169" t="s">
        <v>43</v>
      </c>
      <c r="D169">
        <v>50200</v>
      </c>
      <c r="E169" t="s">
        <v>2</v>
      </c>
    </row>
    <row r="170" spans="1:5" x14ac:dyDescent="0.35">
      <c r="A170" t="s">
        <v>271</v>
      </c>
      <c r="B170" t="s">
        <v>1547</v>
      </c>
      <c r="C170" t="s">
        <v>23</v>
      </c>
      <c r="D170">
        <v>60000</v>
      </c>
      <c r="E170" t="s">
        <v>2</v>
      </c>
    </row>
    <row r="171" spans="1:5" x14ac:dyDescent="0.35">
      <c r="A171" t="s">
        <v>272</v>
      </c>
      <c r="B171" t="s">
        <v>1558</v>
      </c>
      <c r="C171" t="s">
        <v>34</v>
      </c>
      <c r="D171">
        <v>59000</v>
      </c>
      <c r="E171" t="s">
        <v>2</v>
      </c>
    </row>
    <row r="172" spans="1:5" x14ac:dyDescent="0.35">
      <c r="A172" t="s">
        <v>273</v>
      </c>
      <c r="B172" t="s">
        <v>1558</v>
      </c>
      <c r="C172" t="s">
        <v>34</v>
      </c>
      <c r="D172">
        <v>131800</v>
      </c>
      <c r="E172" t="s">
        <v>2</v>
      </c>
    </row>
    <row r="173" spans="1:5" x14ac:dyDescent="0.35">
      <c r="A173" t="s">
        <v>274</v>
      </c>
      <c r="B173" t="s">
        <v>1550</v>
      </c>
      <c r="C173" t="s">
        <v>26</v>
      </c>
      <c r="D173">
        <v>56200</v>
      </c>
      <c r="E173" t="s">
        <v>2</v>
      </c>
    </row>
    <row r="174" spans="1:5" x14ac:dyDescent="0.35">
      <c r="A174" t="s">
        <v>275</v>
      </c>
      <c r="B174" t="s">
        <v>1540</v>
      </c>
      <c r="C174" t="s">
        <v>16</v>
      </c>
      <c r="D174">
        <v>50200</v>
      </c>
      <c r="E174" t="s">
        <v>2</v>
      </c>
    </row>
    <row r="175" spans="1:5" x14ac:dyDescent="0.35">
      <c r="A175" t="s">
        <v>276</v>
      </c>
      <c r="B175" t="s">
        <v>1534</v>
      </c>
      <c r="C175" t="s">
        <v>10</v>
      </c>
      <c r="D175">
        <v>29200</v>
      </c>
      <c r="E175" t="s">
        <v>2</v>
      </c>
    </row>
    <row r="176" spans="1:5" x14ac:dyDescent="0.35">
      <c r="A176" t="s">
        <v>277</v>
      </c>
      <c r="B176" t="s">
        <v>1538</v>
      </c>
      <c r="C176" t="s">
        <v>14</v>
      </c>
      <c r="D176">
        <v>102400</v>
      </c>
      <c r="E176" t="s">
        <v>2</v>
      </c>
    </row>
    <row r="177" spans="1:5" x14ac:dyDescent="0.35">
      <c r="A177" t="s">
        <v>278</v>
      </c>
      <c r="B177" t="s">
        <v>1542</v>
      </c>
      <c r="C177" t="s">
        <v>18</v>
      </c>
      <c r="D177">
        <v>109100</v>
      </c>
      <c r="E177" t="s">
        <v>2</v>
      </c>
    </row>
    <row r="178" spans="1:5" x14ac:dyDescent="0.35">
      <c r="A178" t="s">
        <v>279</v>
      </c>
      <c r="B178" t="s">
        <v>1568</v>
      </c>
      <c r="C178" t="s">
        <v>44</v>
      </c>
      <c r="D178">
        <v>64200</v>
      </c>
      <c r="E178" t="s">
        <v>2</v>
      </c>
    </row>
    <row r="179" spans="1:5" x14ac:dyDescent="0.35">
      <c r="A179" t="s">
        <v>280</v>
      </c>
      <c r="B179" t="s">
        <v>1569</v>
      </c>
      <c r="C179" t="s">
        <v>45</v>
      </c>
      <c r="D179">
        <v>43600</v>
      </c>
      <c r="E179" t="s">
        <v>2</v>
      </c>
    </row>
    <row r="180" spans="1:5" x14ac:dyDescent="0.35">
      <c r="A180" t="s">
        <v>281</v>
      </c>
      <c r="B180" t="s">
        <v>1570</v>
      </c>
      <c r="C180" t="s">
        <v>46</v>
      </c>
      <c r="D180">
        <v>144000</v>
      </c>
      <c r="E180" t="s">
        <v>2</v>
      </c>
    </row>
    <row r="181" spans="1:5" x14ac:dyDescent="0.35">
      <c r="A181" t="s">
        <v>282</v>
      </c>
      <c r="B181" t="s">
        <v>1546</v>
      </c>
      <c r="C181" t="s">
        <v>22</v>
      </c>
      <c r="D181">
        <v>176600</v>
      </c>
      <c r="E181" t="s">
        <v>2</v>
      </c>
    </row>
    <row r="182" spans="1:5" x14ac:dyDescent="0.35">
      <c r="A182" t="s">
        <v>283</v>
      </c>
      <c r="B182" t="s">
        <v>1546</v>
      </c>
      <c r="C182" t="s">
        <v>22</v>
      </c>
      <c r="D182">
        <v>202500</v>
      </c>
      <c r="E182" t="s">
        <v>2</v>
      </c>
    </row>
    <row r="183" spans="1:5" x14ac:dyDescent="0.35">
      <c r="A183" t="s">
        <v>284</v>
      </c>
      <c r="B183" t="s">
        <v>1543</v>
      </c>
      <c r="C183" t="s">
        <v>19</v>
      </c>
      <c r="D183">
        <v>0</v>
      </c>
      <c r="E183" t="s">
        <v>2</v>
      </c>
    </row>
    <row r="184" spans="1:5" x14ac:dyDescent="0.35">
      <c r="A184" t="s">
        <v>285</v>
      </c>
      <c r="B184" t="s">
        <v>1543</v>
      </c>
      <c r="C184" t="s">
        <v>19</v>
      </c>
      <c r="D184">
        <v>128300</v>
      </c>
      <c r="E184" t="s">
        <v>2</v>
      </c>
    </row>
    <row r="185" spans="1:5" x14ac:dyDescent="0.35">
      <c r="A185" t="s">
        <v>286</v>
      </c>
      <c r="B185" t="s">
        <v>1539</v>
      </c>
      <c r="C185" t="s">
        <v>15</v>
      </c>
      <c r="D185">
        <v>58100</v>
      </c>
      <c r="E185" t="s">
        <v>2</v>
      </c>
    </row>
    <row r="186" spans="1:5" x14ac:dyDescent="0.35">
      <c r="A186" t="s">
        <v>287</v>
      </c>
      <c r="B186" t="s">
        <v>1534</v>
      </c>
      <c r="C186" t="s">
        <v>10</v>
      </c>
      <c r="D186">
        <v>67600</v>
      </c>
      <c r="E186" t="s">
        <v>2</v>
      </c>
    </row>
    <row r="187" spans="1:5" x14ac:dyDescent="0.35">
      <c r="A187" t="s">
        <v>288</v>
      </c>
      <c r="B187" t="s">
        <v>1539</v>
      </c>
      <c r="C187" t="s">
        <v>15</v>
      </c>
      <c r="D187">
        <v>46400</v>
      </c>
      <c r="E187" t="s">
        <v>2</v>
      </c>
    </row>
    <row r="188" spans="1:5" x14ac:dyDescent="0.35">
      <c r="A188" t="s">
        <v>289</v>
      </c>
      <c r="B188" t="s">
        <v>1571</v>
      </c>
      <c r="C188" t="s">
        <v>47</v>
      </c>
      <c r="D188">
        <v>88100</v>
      </c>
      <c r="E188" t="s">
        <v>2</v>
      </c>
    </row>
    <row r="189" spans="1:5" x14ac:dyDescent="0.35">
      <c r="A189" t="s">
        <v>290</v>
      </c>
      <c r="B189" t="s">
        <v>1543</v>
      </c>
      <c r="C189" t="s">
        <v>19</v>
      </c>
      <c r="D189">
        <v>51400</v>
      </c>
      <c r="E189" t="s">
        <v>2</v>
      </c>
    </row>
    <row r="190" spans="1:5" x14ac:dyDescent="0.35">
      <c r="A190" t="s">
        <v>291</v>
      </c>
      <c r="B190" t="s">
        <v>1543</v>
      </c>
      <c r="C190" t="s">
        <v>19</v>
      </c>
      <c r="D190">
        <v>134200</v>
      </c>
      <c r="E190" t="s">
        <v>2</v>
      </c>
    </row>
    <row r="191" spans="1:5" x14ac:dyDescent="0.35">
      <c r="A191" t="s">
        <v>292</v>
      </c>
      <c r="B191" t="s">
        <v>1543</v>
      </c>
      <c r="C191" t="s">
        <v>19</v>
      </c>
      <c r="D191">
        <v>48100</v>
      </c>
      <c r="E191" t="s">
        <v>2</v>
      </c>
    </row>
    <row r="192" spans="1:5" x14ac:dyDescent="0.35">
      <c r="A192" t="s">
        <v>293</v>
      </c>
      <c r="B192" t="s">
        <v>1543</v>
      </c>
      <c r="C192" t="s">
        <v>19</v>
      </c>
      <c r="D192">
        <v>50700</v>
      </c>
      <c r="E192" t="s">
        <v>2</v>
      </c>
    </row>
    <row r="193" spans="1:5" x14ac:dyDescent="0.35">
      <c r="A193" t="s">
        <v>294</v>
      </c>
      <c r="B193" t="s">
        <v>1543</v>
      </c>
      <c r="C193" t="s">
        <v>19</v>
      </c>
      <c r="D193">
        <v>66100</v>
      </c>
      <c r="E193" t="s">
        <v>2</v>
      </c>
    </row>
    <row r="194" spans="1:5" x14ac:dyDescent="0.35">
      <c r="A194" t="s">
        <v>295</v>
      </c>
      <c r="B194" t="s">
        <v>1543</v>
      </c>
      <c r="C194" t="s">
        <v>19</v>
      </c>
      <c r="D194">
        <v>50500</v>
      </c>
      <c r="E194" t="s">
        <v>2</v>
      </c>
    </row>
    <row r="195" spans="1:5" x14ac:dyDescent="0.35">
      <c r="A195" t="s">
        <v>296</v>
      </c>
      <c r="B195" t="s">
        <v>1545</v>
      </c>
      <c r="C195" t="s">
        <v>21</v>
      </c>
      <c r="D195">
        <v>38100</v>
      </c>
      <c r="E195" t="s">
        <v>2</v>
      </c>
    </row>
    <row r="196" spans="1:5" x14ac:dyDescent="0.35">
      <c r="A196" t="s">
        <v>297</v>
      </c>
      <c r="B196" t="s">
        <v>1551</v>
      </c>
      <c r="C196" t="s">
        <v>27</v>
      </c>
      <c r="D196">
        <v>54400</v>
      </c>
      <c r="E196" t="s">
        <v>2</v>
      </c>
    </row>
    <row r="197" spans="1:5" x14ac:dyDescent="0.35">
      <c r="A197" t="s">
        <v>298</v>
      </c>
      <c r="B197" t="s">
        <v>1558</v>
      </c>
      <c r="C197" t="s">
        <v>34</v>
      </c>
      <c r="D197">
        <v>42800</v>
      </c>
      <c r="E197" t="s">
        <v>2</v>
      </c>
    </row>
    <row r="198" spans="1:5" x14ac:dyDescent="0.35">
      <c r="A198" t="s">
        <v>299</v>
      </c>
      <c r="B198" t="s">
        <v>1572</v>
      </c>
      <c r="C198" t="s">
        <v>48</v>
      </c>
      <c r="D198">
        <v>63800</v>
      </c>
      <c r="E198" t="s">
        <v>2</v>
      </c>
    </row>
    <row r="199" spans="1:5" x14ac:dyDescent="0.35">
      <c r="A199" t="s">
        <v>300</v>
      </c>
      <c r="B199" t="s">
        <v>1572</v>
      </c>
      <c r="C199" t="s">
        <v>48</v>
      </c>
      <c r="D199">
        <v>64500</v>
      </c>
      <c r="E199" t="s">
        <v>2</v>
      </c>
    </row>
    <row r="200" spans="1:5" x14ac:dyDescent="0.35">
      <c r="A200" t="s">
        <v>301</v>
      </c>
      <c r="B200" t="s">
        <v>1573</v>
      </c>
      <c r="C200" t="s">
        <v>49</v>
      </c>
      <c r="D200">
        <v>67600</v>
      </c>
      <c r="E200" t="s">
        <v>2</v>
      </c>
    </row>
    <row r="201" spans="1:5" x14ac:dyDescent="0.35">
      <c r="A201" t="s">
        <v>302</v>
      </c>
      <c r="B201" t="s">
        <v>1574</v>
      </c>
      <c r="C201" t="s">
        <v>50</v>
      </c>
      <c r="D201">
        <v>92700</v>
      </c>
      <c r="E201" t="s">
        <v>2</v>
      </c>
    </row>
    <row r="202" spans="1:5" x14ac:dyDescent="0.35">
      <c r="A202" t="s">
        <v>303</v>
      </c>
      <c r="B202" t="s">
        <v>1575</v>
      </c>
      <c r="C202" t="s">
        <v>51</v>
      </c>
      <c r="D202">
        <v>85300</v>
      </c>
      <c r="E202" t="s">
        <v>2</v>
      </c>
    </row>
    <row r="203" spans="1:5" x14ac:dyDescent="0.35">
      <c r="A203" t="s">
        <v>304</v>
      </c>
      <c r="B203" t="s">
        <v>1539</v>
      </c>
      <c r="C203" t="s">
        <v>15</v>
      </c>
      <c r="D203">
        <v>43500</v>
      </c>
      <c r="E203" t="s">
        <v>2</v>
      </c>
    </row>
    <row r="204" spans="1:5" x14ac:dyDescent="0.35">
      <c r="A204" t="s">
        <v>305</v>
      </c>
      <c r="B204" t="s">
        <v>1550</v>
      </c>
      <c r="C204" t="s">
        <v>26</v>
      </c>
      <c r="D204">
        <v>90600</v>
      </c>
      <c r="E204" t="s">
        <v>2</v>
      </c>
    </row>
    <row r="205" spans="1:5" x14ac:dyDescent="0.35">
      <c r="A205" t="s">
        <v>306</v>
      </c>
      <c r="B205" t="s">
        <v>1550</v>
      </c>
      <c r="C205" t="s">
        <v>26</v>
      </c>
      <c r="D205">
        <v>134400</v>
      </c>
      <c r="E205" t="s">
        <v>2</v>
      </c>
    </row>
    <row r="206" spans="1:5" x14ac:dyDescent="0.35">
      <c r="A206" t="s">
        <v>307</v>
      </c>
      <c r="B206" t="s">
        <v>1550</v>
      </c>
      <c r="C206" t="s">
        <v>26</v>
      </c>
      <c r="D206">
        <v>58000</v>
      </c>
      <c r="E206" t="s">
        <v>2</v>
      </c>
    </row>
    <row r="207" spans="1:5" x14ac:dyDescent="0.35">
      <c r="A207" t="s">
        <v>308</v>
      </c>
      <c r="B207" t="s">
        <v>1550</v>
      </c>
      <c r="C207" t="s">
        <v>26</v>
      </c>
      <c r="D207">
        <v>73300</v>
      </c>
      <c r="E207" t="s">
        <v>2</v>
      </c>
    </row>
    <row r="208" spans="1:5" x14ac:dyDescent="0.35">
      <c r="A208" t="s">
        <v>309</v>
      </c>
      <c r="B208" t="s">
        <v>1550</v>
      </c>
      <c r="C208" t="s">
        <v>26</v>
      </c>
      <c r="D208">
        <v>140800</v>
      </c>
      <c r="E208" t="s">
        <v>2</v>
      </c>
    </row>
    <row r="209" spans="1:5" x14ac:dyDescent="0.35">
      <c r="A209" t="s">
        <v>310</v>
      </c>
      <c r="B209" t="s">
        <v>1540</v>
      </c>
      <c r="C209" t="s">
        <v>16</v>
      </c>
      <c r="D209">
        <v>48600</v>
      </c>
      <c r="E209" t="s">
        <v>2</v>
      </c>
    </row>
    <row r="210" spans="1:5" x14ac:dyDescent="0.35">
      <c r="A210" t="s">
        <v>311</v>
      </c>
      <c r="B210" t="s">
        <v>1562</v>
      </c>
      <c r="C210" t="s">
        <v>38</v>
      </c>
      <c r="D210">
        <v>238000</v>
      </c>
      <c r="E210" t="s">
        <v>2</v>
      </c>
    </row>
    <row r="211" spans="1:5" x14ac:dyDescent="0.35">
      <c r="A211" t="s">
        <v>312</v>
      </c>
      <c r="B211" t="s">
        <v>1538</v>
      </c>
      <c r="C211" t="s">
        <v>14</v>
      </c>
      <c r="D211">
        <v>41800</v>
      </c>
      <c r="E211" t="s">
        <v>2</v>
      </c>
    </row>
    <row r="212" spans="1:5" x14ac:dyDescent="0.35">
      <c r="A212" t="s">
        <v>313</v>
      </c>
      <c r="B212" t="s">
        <v>1538</v>
      </c>
      <c r="C212" t="s">
        <v>14</v>
      </c>
      <c r="D212">
        <v>60600</v>
      </c>
      <c r="E212" t="s">
        <v>2</v>
      </c>
    </row>
    <row r="213" spans="1:5" x14ac:dyDescent="0.35">
      <c r="A213" t="s">
        <v>314</v>
      </c>
      <c r="B213" t="s">
        <v>1556</v>
      </c>
      <c r="C213" t="s">
        <v>32</v>
      </c>
      <c r="D213">
        <v>82800</v>
      </c>
      <c r="E213" t="s">
        <v>2</v>
      </c>
    </row>
    <row r="214" spans="1:5" x14ac:dyDescent="0.35">
      <c r="A214" t="s">
        <v>315</v>
      </c>
      <c r="B214" t="s">
        <v>1570</v>
      </c>
      <c r="C214" t="s">
        <v>46</v>
      </c>
      <c r="D214">
        <v>53400</v>
      </c>
      <c r="E214" t="s">
        <v>2</v>
      </c>
    </row>
    <row r="215" spans="1:5" x14ac:dyDescent="0.35">
      <c r="A215" t="s">
        <v>316</v>
      </c>
      <c r="B215" t="s">
        <v>1540</v>
      </c>
      <c r="C215" t="s">
        <v>16</v>
      </c>
      <c r="D215">
        <v>43900</v>
      </c>
      <c r="E215" t="s">
        <v>2</v>
      </c>
    </row>
    <row r="216" spans="1:5" x14ac:dyDescent="0.35">
      <c r="A216" t="s">
        <v>317</v>
      </c>
      <c r="B216" t="s">
        <v>1540</v>
      </c>
      <c r="C216" t="s">
        <v>16</v>
      </c>
      <c r="D216">
        <v>60900</v>
      </c>
      <c r="E216" t="s">
        <v>2</v>
      </c>
    </row>
    <row r="217" spans="1:5" x14ac:dyDescent="0.35">
      <c r="A217" t="s">
        <v>318</v>
      </c>
      <c r="B217" t="s">
        <v>1540</v>
      </c>
      <c r="C217" t="s">
        <v>16</v>
      </c>
      <c r="D217">
        <v>181100</v>
      </c>
      <c r="E217" t="s">
        <v>2</v>
      </c>
    </row>
    <row r="218" spans="1:5" x14ac:dyDescent="0.35">
      <c r="A218" t="s">
        <v>319</v>
      </c>
      <c r="B218" t="s">
        <v>1542</v>
      </c>
      <c r="C218" t="s">
        <v>18</v>
      </c>
      <c r="D218">
        <v>0</v>
      </c>
      <c r="E218" t="s">
        <v>2</v>
      </c>
    </row>
    <row r="219" spans="1:5" x14ac:dyDescent="0.35">
      <c r="A219" t="s">
        <v>320</v>
      </c>
      <c r="B219" t="s">
        <v>1562</v>
      </c>
      <c r="C219" t="s">
        <v>38</v>
      </c>
      <c r="D219">
        <v>451500</v>
      </c>
      <c r="E219" t="s">
        <v>2</v>
      </c>
    </row>
    <row r="220" spans="1:5" x14ac:dyDescent="0.35">
      <c r="A220" t="s">
        <v>321</v>
      </c>
      <c r="B220" t="s">
        <v>1558</v>
      </c>
      <c r="C220" t="s">
        <v>34</v>
      </c>
      <c r="D220">
        <v>43600</v>
      </c>
      <c r="E220" t="s">
        <v>2</v>
      </c>
    </row>
    <row r="221" spans="1:5" x14ac:dyDescent="0.35">
      <c r="A221" t="s">
        <v>322</v>
      </c>
      <c r="B221" t="s">
        <v>1554</v>
      </c>
      <c r="C221" t="s">
        <v>30</v>
      </c>
      <c r="D221">
        <v>150500</v>
      </c>
      <c r="E221" t="s">
        <v>2</v>
      </c>
    </row>
    <row r="222" spans="1:5" x14ac:dyDescent="0.35">
      <c r="A222" t="s">
        <v>323</v>
      </c>
      <c r="B222" t="s">
        <v>1568</v>
      </c>
      <c r="C222" t="s">
        <v>44</v>
      </c>
      <c r="D222">
        <v>114900</v>
      </c>
      <c r="E222" t="s">
        <v>2</v>
      </c>
    </row>
    <row r="223" spans="1:5" x14ac:dyDescent="0.35">
      <c r="A223" t="s">
        <v>324</v>
      </c>
      <c r="B223" t="s">
        <v>1567</v>
      </c>
      <c r="C223" t="s">
        <v>43</v>
      </c>
      <c r="D223">
        <v>60200</v>
      </c>
      <c r="E223" t="s">
        <v>2</v>
      </c>
    </row>
    <row r="224" spans="1:5" x14ac:dyDescent="0.35">
      <c r="A224" t="s">
        <v>325</v>
      </c>
      <c r="B224" t="s">
        <v>1541</v>
      </c>
      <c r="C224" t="s">
        <v>17</v>
      </c>
      <c r="D224">
        <v>67000</v>
      </c>
      <c r="E224" t="s">
        <v>2</v>
      </c>
    </row>
    <row r="225" spans="1:5" x14ac:dyDescent="0.35">
      <c r="A225" t="s">
        <v>326</v>
      </c>
      <c r="B225" t="s">
        <v>1576</v>
      </c>
      <c r="C225" t="s">
        <v>52</v>
      </c>
      <c r="D225">
        <v>183800</v>
      </c>
      <c r="E225" t="s">
        <v>2</v>
      </c>
    </row>
    <row r="226" spans="1:5" x14ac:dyDescent="0.35">
      <c r="A226" t="s">
        <v>327</v>
      </c>
      <c r="B226" t="s">
        <v>1558</v>
      </c>
      <c r="C226" t="s">
        <v>34</v>
      </c>
      <c r="D226">
        <v>50400</v>
      </c>
      <c r="E226" t="s">
        <v>2</v>
      </c>
    </row>
    <row r="227" spans="1:5" x14ac:dyDescent="0.35">
      <c r="A227" t="s">
        <v>328</v>
      </c>
      <c r="B227" t="s">
        <v>1540</v>
      </c>
      <c r="C227" t="s">
        <v>16</v>
      </c>
      <c r="D227">
        <v>61600</v>
      </c>
      <c r="E227" t="s">
        <v>2</v>
      </c>
    </row>
    <row r="228" spans="1:5" x14ac:dyDescent="0.35">
      <c r="A228" t="s">
        <v>329</v>
      </c>
      <c r="B228" t="s">
        <v>1540</v>
      </c>
      <c r="C228" t="s">
        <v>16</v>
      </c>
      <c r="D228">
        <v>237100</v>
      </c>
      <c r="E228" t="s">
        <v>2</v>
      </c>
    </row>
    <row r="229" spans="1:5" x14ac:dyDescent="0.35">
      <c r="A229" t="s">
        <v>330</v>
      </c>
      <c r="B229" t="s">
        <v>1562</v>
      </c>
      <c r="C229" t="s">
        <v>38</v>
      </c>
      <c r="D229">
        <v>414100</v>
      </c>
      <c r="E229" t="s">
        <v>2</v>
      </c>
    </row>
    <row r="230" spans="1:5" x14ac:dyDescent="0.35">
      <c r="A230" t="s">
        <v>331</v>
      </c>
      <c r="B230" t="s">
        <v>1577</v>
      </c>
      <c r="C230" t="s">
        <v>53</v>
      </c>
      <c r="D230">
        <v>100100</v>
      </c>
      <c r="E230" t="s">
        <v>2</v>
      </c>
    </row>
    <row r="231" spans="1:5" x14ac:dyDescent="0.35">
      <c r="A231" t="s">
        <v>332</v>
      </c>
      <c r="B231" t="s">
        <v>1538</v>
      </c>
      <c r="C231" t="s">
        <v>14</v>
      </c>
      <c r="D231">
        <v>48900</v>
      </c>
      <c r="E231" t="s">
        <v>2</v>
      </c>
    </row>
    <row r="232" spans="1:5" x14ac:dyDescent="0.35">
      <c r="A232" t="s">
        <v>333</v>
      </c>
      <c r="B232" t="s">
        <v>1538</v>
      </c>
      <c r="C232" t="s">
        <v>14</v>
      </c>
      <c r="D232">
        <v>68100</v>
      </c>
      <c r="E232" t="s">
        <v>2</v>
      </c>
    </row>
    <row r="233" spans="1:5" x14ac:dyDescent="0.35">
      <c r="A233" t="s">
        <v>334</v>
      </c>
      <c r="B233" t="s">
        <v>1538</v>
      </c>
      <c r="C233" t="s">
        <v>14</v>
      </c>
      <c r="D233">
        <v>47400</v>
      </c>
      <c r="E233" t="s">
        <v>2</v>
      </c>
    </row>
    <row r="234" spans="1:5" x14ac:dyDescent="0.35">
      <c r="A234" t="s">
        <v>335</v>
      </c>
      <c r="B234" t="s">
        <v>1543</v>
      </c>
      <c r="C234" t="s">
        <v>19</v>
      </c>
      <c r="D234">
        <v>38100</v>
      </c>
      <c r="E234" t="s">
        <v>2</v>
      </c>
    </row>
    <row r="235" spans="1:5" x14ac:dyDescent="0.35">
      <c r="A235" t="s">
        <v>336</v>
      </c>
      <c r="B235" t="s">
        <v>1550</v>
      </c>
      <c r="C235" t="s">
        <v>26</v>
      </c>
      <c r="D235">
        <v>225500</v>
      </c>
      <c r="E235" t="s">
        <v>2</v>
      </c>
    </row>
    <row r="236" spans="1:5" x14ac:dyDescent="0.35">
      <c r="A236" t="s">
        <v>337</v>
      </c>
      <c r="B236" t="s">
        <v>1543</v>
      </c>
      <c r="C236" t="s">
        <v>19</v>
      </c>
      <c r="D236">
        <v>52400</v>
      </c>
      <c r="E236" t="s">
        <v>2</v>
      </c>
    </row>
    <row r="237" spans="1:5" x14ac:dyDescent="0.35">
      <c r="A237" t="s">
        <v>338</v>
      </c>
      <c r="B237" t="s">
        <v>1543</v>
      </c>
      <c r="C237" t="s">
        <v>19</v>
      </c>
      <c r="D237">
        <v>245700</v>
      </c>
      <c r="E237" t="s">
        <v>2</v>
      </c>
    </row>
    <row r="238" spans="1:5" x14ac:dyDescent="0.35">
      <c r="A238" t="s">
        <v>339</v>
      </c>
      <c r="B238" t="s">
        <v>1543</v>
      </c>
      <c r="C238" t="s">
        <v>19</v>
      </c>
      <c r="D238">
        <v>67700</v>
      </c>
      <c r="E238" t="s">
        <v>2</v>
      </c>
    </row>
    <row r="239" spans="1:5" x14ac:dyDescent="0.35">
      <c r="A239" t="s">
        <v>340</v>
      </c>
      <c r="B239" t="s">
        <v>1543</v>
      </c>
      <c r="C239" t="s">
        <v>19</v>
      </c>
      <c r="D239">
        <v>168000</v>
      </c>
      <c r="E239" t="s">
        <v>2</v>
      </c>
    </row>
    <row r="240" spans="1:5" x14ac:dyDescent="0.35">
      <c r="A240" t="s">
        <v>341</v>
      </c>
      <c r="B240" t="s">
        <v>1558</v>
      </c>
      <c r="C240" t="s">
        <v>34</v>
      </c>
      <c r="D240">
        <v>93000</v>
      </c>
      <c r="E240" t="s">
        <v>2</v>
      </c>
    </row>
    <row r="241" spans="1:5" x14ac:dyDescent="0.35">
      <c r="A241" t="s">
        <v>342</v>
      </c>
      <c r="B241" t="s">
        <v>1558</v>
      </c>
      <c r="C241" t="s">
        <v>34</v>
      </c>
      <c r="D241">
        <v>62200</v>
      </c>
      <c r="E241" t="s">
        <v>2</v>
      </c>
    </row>
    <row r="242" spans="1:5" x14ac:dyDescent="0.35">
      <c r="A242" t="s">
        <v>343</v>
      </c>
      <c r="B242" t="s">
        <v>1558</v>
      </c>
      <c r="C242" t="s">
        <v>34</v>
      </c>
      <c r="D242">
        <v>61700</v>
      </c>
      <c r="E242" t="s">
        <v>2</v>
      </c>
    </row>
    <row r="243" spans="1:5" x14ac:dyDescent="0.35">
      <c r="A243" t="s">
        <v>344</v>
      </c>
      <c r="B243" t="s">
        <v>1558</v>
      </c>
      <c r="C243" t="s">
        <v>34</v>
      </c>
      <c r="D243">
        <v>120500</v>
      </c>
      <c r="E243" t="s">
        <v>2</v>
      </c>
    </row>
    <row r="244" spans="1:5" x14ac:dyDescent="0.35">
      <c r="A244" t="s">
        <v>345</v>
      </c>
      <c r="B244" t="s">
        <v>1558</v>
      </c>
      <c r="C244" t="s">
        <v>34</v>
      </c>
      <c r="D244">
        <v>48800</v>
      </c>
      <c r="E244" t="s">
        <v>2</v>
      </c>
    </row>
    <row r="245" spans="1:5" x14ac:dyDescent="0.35">
      <c r="A245" t="s">
        <v>346</v>
      </c>
      <c r="B245" t="s">
        <v>1558</v>
      </c>
      <c r="C245" t="s">
        <v>34</v>
      </c>
      <c r="D245">
        <v>120300</v>
      </c>
      <c r="E245" t="s">
        <v>2</v>
      </c>
    </row>
    <row r="246" spans="1:5" x14ac:dyDescent="0.35">
      <c r="A246" t="s">
        <v>347</v>
      </c>
      <c r="B246" t="s">
        <v>1558</v>
      </c>
      <c r="C246" t="s">
        <v>34</v>
      </c>
      <c r="D246">
        <v>65200</v>
      </c>
      <c r="E246" t="s">
        <v>2</v>
      </c>
    </row>
    <row r="247" spans="1:5" x14ac:dyDescent="0.35">
      <c r="A247" t="s">
        <v>348</v>
      </c>
      <c r="B247" t="s">
        <v>1561</v>
      </c>
      <c r="C247" t="s">
        <v>37</v>
      </c>
      <c r="D247">
        <v>132800</v>
      </c>
      <c r="E247" t="s">
        <v>2</v>
      </c>
    </row>
    <row r="248" spans="1:5" x14ac:dyDescent="0.35">
      <c r="A248" t="s">
        <v>349</v>
      </c>
      <c r="B248" t="s">
        <v>1542</v>
      </c>
      <c r="C248" t="s">
        <v>18</v>
      </c>
      <c r="D248">
        <v>46400</v>
      </c>
      <c r="E248" t="s">
        <v>2</v>
      </c>
    </row>
    <row r="249" spans="1:5" x14ac:dyDescent="0.35">
      <c r="A249" t="s">
        <v>350</v>
      </c>
      <c r="B249" t="s">
        <v>1568</v>
      </c>
      <c r="C249" t="s">
        <v>44</v>
      </c>
      <c r="D249">
        <v>178000</v>
      </c>
      <c r="E249" t="s">
        <v>2</v>
      </c>
    </row>
    <row r="250" spans="1:5" x14ac:dyDescent="0.35">
      <c r="A250" t="s">
        <v>351</v>
      </c>
      <c r="B250" t="s">
        <v>1539</v>
      </c>
      <c r="C250" t="s">
        <v>15</v>
      </c>
      <c r="D250">
        <v>41200</v>
      </c>
      <c r="E250" t="s">
        <v>2</v>
      </c>
    </row>
    <row r="251" spans="1:5" x14ac:dyDescent="0.35">
      <c r="A251" t="s">
        <v>352</v>
      </c>
      <c r="B251" t="s">
        <v>1551</v>
      </c>
      <c r="C251" t="s">
        <v>27</v>
      </c>
      <c r="D251">
        <v>36000</v>
      </c>
      <c r="E251" t="s">
        <v>2</v>
      </c>
    </row>
    <row r="252" spans="1:5" x14ac:dyDescent="0.35">
      <c r="A252" t="s">
        <v>353</v>
      </c>
      <c r="B252" t="s">
        <v>1578</v>
      </c>
      <c r="C252" t="s">
        <v>54</v>
      </c>
      <c r="D252">
        <v>59400</v>
      </c>
      <c r="E252" t="s">
        <v>2</v>
      </c>
    </row>
    <row r="253" spans="1:5" x14ac:dyDescent="0.35">
      <c r="A253" t="s">
        <v>354</v>
      </c>
      <c r="B253" t="s">
        <v>1578</v>
      </c>
      <c r="C253" t="s">
        <v>54</v>
      </c>
      <c r="D253">
        <v>57100</v>
      </c>
      <c r="E253" t="s">
        <v>2</v>
      </c>
    </row>
    <row r="254" spans="1:5" x14ac:dyDescent="0.35">
      <c r="A254" t="s">
        <v>355</v>
      </c>
      <c r="B254" t="s">
        <v>1578</v>
      </c>
      <c r="C254" t="s">
        <v>54</v>
      </c>
      <c r="D254">
        <v>71900</v>
      </c>
      <c r="E254" t="s">
        <v>2</v>
      </c>
    </row>
    <row r="255" spans="1:5" x14ac:dyDescent="0.35">
      <c r="A255" t="s">
        <v>356</v>
      </c>
      <c r="B255" t="s">
        <v>1538</v>
      </c>
      <c r="C255" t="s">
        <v>14</v>
      </c>
      <c r="D255">
        <v>46200</v>
      </c>
      <c r="E255" t="s">
        <v>2</v>
      </c>
    </row>
    <row r="256" spans="1:5" x14ac:dyDescent="0.35">
      <c r="A256" t="s">
        <v>357</v>
      </c>
      <c r="B256" t="s">
        <v>1538</v>
      </c>
      <c r="C256" t="s">
        <v>14</v>
      </c>
      <c r="D256">
        <v>75600</v>
      </c>
      <c r="E256" t="s">
        <v>2</v>
      </c>
    </row>
    <row r="257" spans="1:5" x14ac:dyDescent="0.35">
      <c r="A257" t="s">
        <v>358</v>
      </c>
      <c r="B257" t="s">
        <v>1538</v>
      </c>
      <c r="C257" t="s">
        <v>14</v>
      </c>
      <c r="D257">
        <v>72100</v>
      </c>
      <c r="E257" t="s">
        <v>2</v>
      </c>
    </row>
    <row r="258" spans="1:5" x14ac:dyDescent="0.35">
      <c r="A258" t="s">
        <v>359</v>
      </c>
      <c r="B258" t="s">
        <v>1543</v>
      </c>
      <c r="C258" t="s">
        <v>19</v>
      </c>
      <c r="D258">
        <v>56900</v>
      </c>
      <c r="E258" t="s">
        <v>2</v>
      </c>
    </row>
    <row r="259" spans="1:5" x14ac:dyDescent="0.35">
      <c r="A259" t="s">
        <v>360</v>
      </c>
      <c r="B259" t="s">
        <v>1543</v>
      </c>
      <c r="C259" t="s">
        <v>19</v>
      </c>
      <c r="D259">
        <v>55100</v>
      </c>
      <c r="E259" t="s">
        <v>2</v>
      </c>
    </row>
    <row r="260" spans="1:5" x14ac:dyDescent="0.35">
      <c r="A260" t="s">
        <v>361</v>
      </c>
      <c r="B260" t="s">
        <v>1543</v>
      </c>
      <c r="C260" t="s">
        <v>19</v>
      </c>
      <c r="D260">
        <v>60700</v>
      </c>
      <c r="E260" t="s">
        <v>2</v>
      </c>
    </row>
    <row r="261" spans="1:5" x14ac:dyDescent="0.35">
      <c r="A261" t="s">
        <v>362</v>
      </c>
      <c r="B261" t="s">
        <v>1543</v>
      </c>
      <c r="C261" t="s">
        <v>19</v>
      </c>
      <c r="D261">
        <v>55700</v>
      </c>
      <c r="E261" t="s">
        <v>2</v>
      </c>
    </row>
    <row r="262" spans="1:5" x14ac:dyDescent="0.35">
      <c r="A262" t="s">
        <v>363</v>
      </c>
      <c r="B262" t="s">
        <v>1542</v>
      </c>
      <c r="C262" t="s">
        <v>18</v>
      </c>
      <c r="D262">
        <v>151700</v>
      </c>
      <c r="E262" t="s">
        <v>2</v>
      </c>
    </row>
    <row r="263" spans="1:5" x14ac:dyDescent="0.35">
      <c r="A263" t="s">
        <v>364</v>
      </c>
      <c r="B263" t="s">
        <v>1540</v>
      </c>
      <c r="C263" t="s">
        <v>16</v>
      </c>
      <c r="D263">
        <v>45100</v>
      </c>
      <c r="E263" t="s">
        <v>2</v>
      </c>
    </row>
    <row r="264" spans="1:5" x14ac:dyDescent="0.35">
      <c r="A264" t="s">
        <v>365</v>
      </c>
      <c r="B264" t="s">
        <v>1579</v>
      </c>
      <c r="C264" t="s">
        <v>55</v>
      </c>
      <c r="D264">
        <v>45200</v>
      </c>
      <c r="E264" t="s">
        <v>2</v>
      </c>
    </row>
    <row r="265" spans="1:5" x14ac:dyDescent="0.35">
      <c r="A265" t="s">
        <v>366</v>
      </c>
      <c r="B265" t="s">
        <v>1542</v>
      </c>
      <c r="C265" t="s">
        <v>18</v>
      </c>
      <c r="D265">
        <v>45100</v>
      </c>
      <c r="E265" t="s">
        <v>2</v>
      </c>
    </row>
    <row r="266" spans="1:5" x14ac:dyDescent="0.35">
      <c r="A266" t="s">
        <v>367</v>
      </c>
      <c r="B266" t="s">
        <v>1540</v>
      </c>
      <c r="C266" t="s">
        <v>16</v>
      </c>
      <c r="D266">
        <v>56500</v>
      </c>
      <c r="E266" t="s">
        <v>2</v>
      </c>
    </row>
    <row r="267" spans="1:5" x14ac:dyDescent="0.35">
      <c r="A267" t="s">
        <v>368</v>
      </c>
      <c r="B267" t="s">
        <v>1550</v>
      </c>
      <c r="C267" t="s">
        <v>26</v>
      </c>
      <c r="D267">
        <v>62400</v>
      </c>
      <c r="E267" t="s">
        <v>2</v>
      </c>
    </row>
    <row r="268" spans="1:5" x14ac:dyDescent="0.35">
      <c r="A268" t="s">
        <v>369</v>
      </c>
      <c r="B268" t="s">
        <v>1550</v>
      </c>
      <c r="C268" t="s">
        <v>26</v>
      </c>
      <c r="D268">
        <v>54500</v>
      </c>
      <c r="E268" t="s">
        <v>2</v>
      </c>
    </row>
    <row r="269" spans="1:5" x14ac:dyDescent="0.35">
      <c r="A269" t="s">
        <v>370</v>
      </c>
      <c r="B269" t="s">
        <v>1550</v>
      </c>
      <c r="C269" t="s">
        <v>26</v>
      </c>
      <c r="D269">
        <v>58600</v>
      </c>
      <c r="E269" t="s">
        <v>2</v>
      </c>
    </row>
    <row r="270" spans="1:5" x14ac:dyDescent="0.35">
      <c r="A270" t="s">
        <v>371</v>
      </c>
      <c r="B270" t="s">
        <v>1550</v>
      </c>
      <c r="C270" t="s">
        <v>26</v>
      </c>
      <c r="D270">
        <v>66300</v>
      </c>
      <c r="E270" t="s">
        <v>2</v>
      </c>
    </row>
    <row r="271" spans="1:5" x14ac:dyDescent="0.35">
      <c r="A271" t="s">
        <v>372</v>
      </c>
      <c r="B271" t="s">
        <v>1550</v>
      </c>
      <c r="C271" t="s">
        <v>26</v>
      </c>
      <c r="D271">
        <v>56300</v>
      </c>
      <c r="E271" t="s">
        <v>2</v>
      </c>
    </row>
    <row r="272" spans="1:5" x14ac:dyDescent="0.35">
      <c r="A272" t="s">
        <v>373</v>
      </c>
      <c r="B272" t="s">
        <v>1542</v>
      </c>
      <c r="C272" t="s">
        <v>18</v>
      </c>
      <c r="D272">
        <v>176300</v>
      </c>
      <c r="E272" t="s">
        <v>2</v>
      </c>
    </row>
    <row r="273" spans="1:5" x14ac:dyDescent="0.35">
      <c r="A273" t="s">
        <v>374</v>
      </c>
      <c r="B273" t="s">
        <v>1543</v>
      </c>
      <c r="C273" t="s">
        <v>19</v>
      </c>
      <c r="D273">
        <v>69200</v>
      </c>
      <c r="E273" t="s">
        <v>2</v>
      </c>
    </row>
    <row r="274" spans="1:5" x14ac:dyDescent="0.35">
      <c r="A274" t="s">
        <v>375</v>
      </c>
      <c r="B274" t="s">
        <v>1543</v>
      </c>
      <c r="C274" t="s">
        <v>19</v>
      </c>
      <c r="D274">
        <v>50100</v>
      </c>
      <c r="E274" t="s">
        <v>2</v>
      </c>
    </row>
    <row r="275" spans="1:5" x14ac:dyDescent="0.35">
      <c r="A275" t="s">
        <v>376</v>
      </c>
      <c r="B275" t="s">
        <v>1538</v>
      </c>
      <c r="C275" t="s">
        <v>14</v>
      </c>
      <c r="D275">
        <v>74200</v>
      </c>
      <c r="E275" t="s">
        <v>2</v>
      </c>
    </row>
    <row r="276" spans="1:5" x14ac:dyDescent="0.35">
      <c r="A276" t="s">
        <v>377</v>
      </c>
      <c r="B276" t="s">
        <v>1558</v>
      </c>
      <c r="C276" t="s">
        <v>34</v>
      </c>
      <c r="D276">
        <v>42400</v>
      </c>
      <c r="E276" t="s">
        <v>2</v>
      </c>
    </row>
    <row r="277" spans="1:5" x14ac:dyDescent="0.35">
      <c r="A277" t="s">
        <v>378</v>
      </c>
      <c r="B277" t="s">
        <v>1558</v>
      </c>
      <c r="C277" t="s">
        <v>34</v>
      </c>
      <c r="D277">
        <v>60400</v>
      </c>
      <c r="E277" t="s">
        <v>2</v>
      </c>
    </row>
    <row r="278" spans="1:5" x14ac:dyDescent="0.35">
      <c r="A278" t="s">
        <v>379</v>
      </c>
      <c r="B278" t="s">
        <v>1558</v>
      </c>
      <c r="C278" t="s">
        <v>34</v>
      </c>
      <c r="D278">
        <v>73900</v>
      </c>
      <c r="E278" t="s">
        <v>2</v>
      </c>
    </row>
    <row r="279" spans="1:5" x14ac:dyDescent="0.35">
      <c r="A279" t="s">
        <v>380</v>
      </c>
      <c r="B279" t="s">
        <v>1556</v>
      </c>
      <c r="C279" t="s">
        <v>32</v>
      </c>
      <c r="D279">
        <v>58600</v>
      </c>
      <c r="E279" t="s">
        <v>2</v>
      </c>
    </row>
    <row r="280" spans="1:5" x14ac:dyDescent="0.35">
      <c r="A280" t="s">
        <v>381</v>
      </c>
      <c r="B280" t="s">
        <v>1556</v>
      </c>
      <c r="C280" t="s">
        <v>32</v>
      </c>
      <c r="D280">
        <v>55800</v>
      </c>
      <c r="E280" t="s">
        <v>2</v>
      </c>
    </row>
    <row r="281" spans="1:5" x14ac:dyDescent="0.35">
      <c r="A281" t="s">
        <v>382</v>
      </c>
      <c r="B281" t="s">
        <v>1556</v>
      </c>
      <c r="C281" t="s">
        <v>32</v>
      </c>
      <c r="D281">
        <v>46200</v>
      </c>
      <c r="E281" t="s">
        <v>2</v>
      </c>
    </row>
    <row r="282" spans="1:5" x14ac:dyDescent="0.35">
      <c r="A282" t="s">
        <v>383</v>
      </c>
      <c r="B282" t="s">
        <v>1556</v>
      </c>
      <c r="C282" t="s">
        <v>32</v>
      </c>
      <c r="D282">
        <v>65600</v>
      </c>
      <c r="E282" t="s">
        <v>2</v>
      </c>
    </row>
    <row r="283" spans="1:5" x14ac:dyDescent="0.35">
      <c r="A283" t="s">
        <v>384</v>
      </c>
      <c r="B283" t="s">
        <v>1556</v>
      </c>
      <c r="C283" t="s">
        <v>32</v>
      </c>
      <c r="D283">
        <v>51400</v>
      </c>
      <c r="E283" t="s">
        <v>2</v>
      </c>
    </row>
    <row r="284" spans="1:5" x14ac:dyDescent="0.35">
      <c r="A284" t="s">
        <v>385</v>
      </c>
      <c r="B284" t="s">
        <v>1562</v>
      </c>
      <c r="C284" t="s">
        <v>38</v>
      </c>
      <c r="D284">
        <v>179900</v>
      </c>
      <c r="E284" t="s">
        <v>2</v>
      </c>
    </row>
    <row r="285" spans="1:5" x14ac:dyDescent="0.35">
      <c r="A285" t="s">
        <v>386</v>
      </c>
      <c r="B285" t="s">
        <v>1558</v>
      </c>
      <c r="C285" t="s">
        <v>34</v>
      </c>
      <c r="D285">
        <v>52900</v>
      </c>
      <c r="E285" t="s">
        <v>2</v>
      </c>
    </row>
    <row r="286" spans="1:5" x14ac:dyDescent="0.35">
      <c r="A286" t="s">
        <v>387</v>
      </c>
      <c r="B286" t="s">
        <v>1580</v>
      </c>
      <c r="C286" t="s">
        <v>56</v>
      </c>
      <c r="D286">
        <v>300900</v>
      </c>
      <c r="E286" t="s">
        <v>2</v>
      </c>
    </row>
    <row r="287" spans="1:5" x14ac:dyDescent="0.35">
      <c r="A287" t="s">
        <v>388</v>
      </c>
      <c r="B287" t="s">
        <v>1581</v>
      </c>
      <c r="C287" t="s">
        <v>57</v>
      </c>
      <c r="D287">
        <v>32700</v>
      </c>
      <c r="E287" t="s">
        <v>2</v>
      </c>
    </row>
    <row r="288" spans="1:5" x14ac:dyDescent="0.35">
      <c r="A288" t="s">
        <v>389</v>
      </c>
      <c r="B288" t="s">
        <v>1580</v>
      </c>
      <c r="C288" t="s">
        <v>56</v>
      </c>
      <c r="D288">
        <v>303500</v>
      </c>
      <c r="E288" t="s">
        <v>2</v>
      </c>
    </row>
    <row r="289" spans="1:5" x14ac:dyDescent="0.35">
      <c r="A289" t="s">
        <v>390</v>
      </c>
      <c r="B289" t="s">
        <v>1556</v>
      </c>
      <c r="C289" t="s">
        <v>32</v>
      </c>
      <c r="D289">
        <v>52100</v>
      </c>
      <c r="E289" t="s">
        <v>2</v>
      </c>
    </row>
    <row r="290" spans="1:5" x14ac:dyDescent="0.35">
      <c r="A290" t="s">
        <v>391</v>
      </c>
      <c r="B290" t="s">
        <v>1556</v>
      </c>
      <c r="C290" t="s">
        <v>32</v>
      </c>
      <c r="D290">
        <v>46900</v>
      </c>
      <c r="E290" t="s">
        <v>2</v>
      </c>
    </row>
    <row r="291" spans="1:5" x14ac:dyDescent="0.35">
      <c r="A291" t="s">
        <v>392</v>
      </c>
      <c r="B291" t="s">
        <v>1582</v>
      </c>
      <c r="C291" t="s">
        <v>58</v>
      </c>
      <c r="D291">
        <v>157000</v>
      </c>
      <c r="E291" t="s">
        <v>2</v>
      </c>
    </row>
    <row r="292" spans="1:5" x14ac:dyDescent="0.35">
      <c r="A292" t="s">
        <v>393</v>
      </c>
      <c r="B292" t="s">
        <v>1540</v>
      </c>
      <c r="C292" t="s">
        <v>16</v>
      </c>
      <c r="D292">
        <v>57300</v>
      </c>
      <c r="E292" t="s">
        <v>2</v>
      </c>
    </row>
    <row r="293" spans="1:5" x14ac:dyDescent="0.35">
      <c r="A293" t="s">
        <v>394</v>
      </c>
      <c r="B293" t="s">
        <v>1540</v>
      </c>
      <c r="C293" t="s">
        <v>16</v>
      </c>
      <c r="D293">
        <v>51500</v>
      </c>
      <c r="E293" t="s">
        <v>2</v>
      </c>
    </row>
    <row r="294" spans="1:5" x14ac:dyDescent="0.35">
      <c r="A294" t="s">
        <v>395</v>
      </c>
      <c r="B294" t="s">
        <v>1543</v>
      </c>
      <c r="C294" t="s">
        <v>19</v>
      </c>
      <c r="D294">
        <v>52800</v>
      </c>
      <c r="E294" t="s">
        <v>2</v>
      </c>
    </row>
    <row r="295" spans="1:5" x14ac:dyDescent="0.35">
      <c r="A295" t="s">
        <v>396</v>
      </c>
      <c r="B295" t="s">
        <v>1543</v>
      </c>
      <c r="C295" t="s">
        <v>19</v>
      </c>
      <c r="D295">
        <v>76500</v>
      </c>
      <c r="E295" t="s">
        <v>2</v>
      </c>
    </row>
    <row r="296" spans="1:5" x14ac:dyDescent="0.35">
      <c r="A296" t="s">
        <v>397</v>
      </c>
      <c r="B296" t="s">
        <v>1543</v>
      </c>
      <c r="C296" t="s">
        <v>19</v>
      </c>
      <c r="D296">
        <v>59100</v>
      </c>
      <c r="E296" t="s">
        <v>2</v>
      </c>
    </row>
    <row r="297" spans="1:5" x14ac:dyDescent="0.35">
      <c r="A297" t="s">
        <v>398</v>
      </c>
      <c r="B297" t="s">
        <v>1543</v>
      </c>
      <c r="C297" t="s">
        <v>19</v>
      </c>
      <c r="D297">
        <v>126700</v>
      </c>
      <c r="E297" t="s">
        <v>2</v>
      </c>
    </row>
    <row r="298" spans="1:5" x14ac:dyDescent="0.35">
      <c r="A298" t="s">
        <v>399</v>
      </c>
      <c r="B298" t="s">
        <v>1543</v>
      </c>
      <c r="C298" t="s">
        <v>19</v>
      </c>
      <c r="D298">
        <v>45300</v>
      </c>
      <c r="E298" t="s">
        <v>2</v>
      </c>
    </row>
    <row r="299" spans="1:5" x14ac:dyDescent="0.35">
      <c r="A299" t="s">
        <v>400</v>
      </c>
      <c r="B299" t="s">
        <v>1543</v>
      </c>
      <c r="C299" t="s">
        <v>19</v>
      </c>
      <c r="D299">
        <v>47800</v>
      </c>
      <c r="E299" t="s">
        <v>2</v>
      </c>
    </row>
    <row r="300" spans="1:5" x14ac:dyDescent="0.35">
      <c r="A300" t="s">
        <v>401</v>
      </c>
      <c r="B300" t="s">
        <v>1574</v>
      </c>
      <c r="C300" t="s">
        <v>50</v>
      </c>
      <c r="D300">
        <v>44000</v>
      </c>
      <c r="E300" t="s">
        <v>2</v>
      </c>
    </row>
    <row r="301" spans="1:5" x14ac:dyDescent="0.35">
      <c r="A301" t="s">
        <v>402</v>
      </c>
      <c r="B301" t="s">
        <v>1583</v>
      </c>
      <c r="C301" t="s">
        <v>59</v>
      </c>
      <c r="D301">
        <v>113300</v>
      </c>
      <c r="E301" t="s">
        <v>2</v>
      </c>
    </row>
    <row r="302" spans="1:5" x14ac:dyDescent="0.35">
      <c r="A302" t="s">
        <v>403</v>
      </c>
      <c r="B302" t="s">
        <v>1551</v>
      </c>
      <c r="C302" t="s">
        <v>27</v>
      </c>
      <c r="D302">
        <v>68600</v>
      </c>
      <c r="E302" t="s">
        <v>2</v>
      </c>
    </row>
    <row r="303" spans="1:5" x14ac:dyDescent="0.35">
      <c r="A303" t="s">
        <v>404</v>
      </c>
      <c r="B303" t="s">
        <v>1550</v>
      </c>
      <c r="C303" t="s">
        <v>26</v>
      </c>
      <c r="D303">
        <v>23900</v>
      </c>
      <c r="E303" t="s">
        <v>2</v>
      </c>
    </row>
    <row r="304" spans="1:5" x14ac:dyDescent="0.35">
      <c r="A304" t="s">
        <v>405</v>
      </c>
      <c r="B304" t="s">
        <v>1550</v>
      </c>
      <c r="C304" t="s">
        <v>26</v>
      </c>
      <c r="D304">
        <v>51300</v>
      </c>
      <c r="E304" t="s">
        <v>2</v>
      </c>
    </row>
    <row r="305" spans="1:5" x14ac:dyDescent="0.35">
      <c r="A305" t="s">
        <v>406</v>
      </c>
      <c r="B305" t="s">
        <v>1550</v>
      </c>
      <c r="C305" t="s">
        <v>26</v>
      </c>
      <c r="D305">
        <v>55300</v>
      </c>
      <c r="E305" t="s">
        <v>2</v>
      </c>
    </row>
    <row r="306" spans="1:5" x14ac:dyDescent="0.35">
      <c r="A306" t="s">
        <v>407</v>
      </c>
      <c r="B306" t="s">
        <v>1542</v>
      </c>
      <c r="C306" t="s">
        <v>18</v>
      </c>
      <c r="D306">
        <v>44900</v>
      </c>
      <c r="E306" t="s">
        <v>2</v>
      </c>
    </row>
    <row r="307" spans="1:5" x14ac:dyDescent="0.35">
      <c r="A307" t="s">
        <v>408</v>
      </c>
      <c r="B307" t="s">
        <v>1541</v>
      </c>
      <c r="C307" t="s">
        <v>17</v>
      </c>
      <c r="D307">
        <v>6600</v>
      </c>
      <c r="E307" t="s">
        <v>2</v>
      </c>
    </row>
    <row r="308" spans="1:5" x14ac:dyDescent="0.35">
      <c r="A308" t="s">
        <v>409</v>
      </c>
      <c r="B308" t="s">
        <v>1540</v>
      </c>
      <c r="C308" t="s">
        <v>16</v>
      </c>
      <c r="D308">
        <v>41700</v>
      </c>
      <c r="E308" t="s">
        <v>2</v>
      </c>
    </row>
    <row r="309" spans="1:5" x14ac:dyDescent="0.35">
      <c r="A309" t="s">
        <v>410</v>
      </c>
      <c r="B309" t="s">
        <v>1550</v>
      </c>
      <c r="C309" t="s">
        <v>26</v>
      </c>
      <c r="D309">
        <v>0</v>
      </c>
      <c r="E309" t="s">
        <v>2</v>
      </c>
    </row>
    <row r="310" spans="1:5" x14ac:dyDescent="0.35">
      <c r="A310" t="s">
        <v>411</v>
      </c>
      <c r="B310" t="s">
        <v>1547</v>
      </c>
      <c r="C310" t="s">
        <v>23</v>
      </c>
      <c r="D310">
        <v>58800</v>
      </c>
      <c r="E310" t="s">
        <v>2</v>
      </c>
    </row>
    <row r="311" spans="1:5" x14ac:dyDescent="0.35">
      <c r="A311" t="s">
        <v>412</v>
      </c>
      <c r="B311" t="s">
        <v>1539</v>
      </c>
      <c r="C311" t="s">
        <v>15</v>
      </c>
      <c r="D311">
        <v>47200</v>
      </c>
      <c r="E311" t="s">
        <v>2</v>
      </c>
    </row>
    <row r="312" spans="1:5" x14ac:dyDescent="0.35">
      <c r="A312" t="s">
        <v>413</v>
      </c>
      <c r="B312" t="s">
        <v>1542</v>
      </c>
      <c r="C312" t="s">
        <v>18</v>
      </c>
      <c r="D312">
        <v>132300</v>
      </c>
      <c r="E312" t="s">
        <v>2</v>
      </c>
    </row>
    <row r="313" spans="1:5" x14ac:dyDescent="0.35">
      <c r="A313" t="s">
        <v>414</v>
      </c>
      <c r="B313" t="s">
        <v>1558</v>
      </c>
      <c r="C313" t="s">
        <v>34</v>
      </c>
      <c r="D313">
        <v>54600</v>
      </c>
      <c r="E313" t="s">
        <v>2</v>
      </c>
    </row>
    <row r="314" spans="1:5" x14ac:dyDescent="0.35">
      <c r="A314" t="s">
        <v>415</v>
      </c>
      <c r="B314" t="s">
        <v>1538</v>
      </c>
      <c r="C314" t="s">
        <v>14</v>
      </c>
      <c r="D314">
        <v>119100</v>
      </c>
      <c r="E314" t="s">
        <v>2</v>
      </c>
    </row>
    <row r="315" spans="1:5" x14ac:dyDescent="0.35">
      <c r="A315" t="s">
        <v>416</v>
      </c>
      <c r="B315" t="s">
        <v>1582</v>
      </c>
      <c r="C315" t="s">
        <v>58</v>
      </c>
      <c r="D315">
        <v>235500</v>
      </c>
      <c r="E315" t="s">
        <v>2</v>
      </c>
    </row>
    <row r="316" spans="1:5" x14ac:dyDescent="0.35">
      <c r="A316" t="s">
        <v>417</v>
      </c>
      <c r="B316" t="s">
        <v>1538</v>
      </c>
      <c r="C316" t="s">
        <v>14</v>
      </c>
      <c r="D316">
        <v>42600</v>
      </c>
      <c r="E316" t="s">
        <v>2</v>
      </c>
    </row>
    <row r="317" spans="1:5" x14ac:dyDescent="0.35">
      <c r="A317" t="s">
        <v>418</v>
      </c>
      <c r="B317" t="s">
        <v>1540</v>
      </c>
      <c r="C317" t="s">
        <v>16</v>
      </c>
      <c r="D317">
        <v>61000</v>
      </c>
      <c r="E317" t="s">
        <v>2</v>
      </c>
    </row>
    <row r="318" spans="1:5" x14ac:dyDescent="0.35">
      <c r="A318" t="s">
        <v>419</v>
      </c>
      <c r="B318" t="s">
        <v>1540</v>
      </c>
      <c r="C318" t="s">
        <v>16</v>
      </c>
      <c r="D318">
        <v>56400</v>
      </c>
      <c r="E318" t="s">
        <v>2</v>
      </c>
    </row>
    <row r="319" spans="1:5" x14ac:dyDescent="0.35">
      <c r="A319" t="s">
        <v>420</v>
      </c>
      <c r="B319" t="s">
        <v>1541</v>
      </c>
      <c r="C319" t="s">
        <v>17</v>
      </c>
      <c r="D319">
        <v>244700</v>
      </c>
      <c r="E319" t="s">
        <v>2</v>
      </c>
    </row>
    <row r="320" spans="1:5" x14ac:dyDescent="0.35">
      <c r="A320" t="s">
        <v>421</v>
      </c>
      <c r="B320" t="s">
        <v>1547</v>
      </c>
      <c r="C320" t="s">
        <v>23</v>
      </c>
      <c r="D320">
        <v>53000</v>
      </c>
      <c r="E320" t="s">
        <v>2</v>
      </c>
    </row>
    <row r="321" spans="1:5" x14ac:dyDescent="0.35">
      <c r="A321" t="s">
        <v>422</v>
      </c>
      <c r="B321" t="s">
        <v>1547</v>
      </c>
      <c r="C321" t="s">
        <v>23</v>
      </c>
      <c r="D321">
        <v>51900</v>
      </c>
      <c r="E321" t="s">
        <v>2</v>
      </c>
    </row>
    <row r="322" spans="1:5" x14ac:dyDescent="0.35">
      <c r="A322" t="s">
        <v>423</v>
      </c>
      <c r="B322" t="s">
        <v>1542</v>
      </c>
      <c r="C322" t="s">
        <v>18</v>
      </c>
      <c r="D322">
        <v>115000</v>
      </c>
      <c r="E322" t="s">
        <v>2</v>
      </c>
    </row>
    <row r="323" spans="1:5" x14ac:dyDescent="0.35">
      <c r="A323" t="s">
        <v>424</v>
      </c>
      <c r="B323" t="s">
        <v>1540</v>
      </c>
      <c r="C323" t="s">
        <v>16</v>
      </c>
      <c r="D323">
        <v>37700</v>
      </c>
      <c r="E323" t="s">
        <v>2</v>
      </c>
    </row>
    <row r="324" spans="1:5" x14ac:dyDescent="0.35">
      <c r="A324" t="s">
        <v>425</v>
      </c>
      <c r="B324" t="s">
        <v>1538</v>
      </c>
      <c r="C324" t="s">
        <v>14</v>
      </c>
      <c r="D324">
        <v>69000</v>
      </c>
      <c r="E324" t="s">
        <v>2</v>
      </c>
    </row>
    <row r="325" spans="1:5" x14ac:dyDescent="0.35">
      <c r="A325" t="s">
        <v>426</v>
      </c>
      <c r="B325" t="s">
        <v>1538</v>
      </c>
      <c r="C325" t="s">
        <v>14</v>
      </c>
      <c r="D325">
        <v>67100</v>
      </c>
      <c r="E325" t="s">
        <v>2</v>
      </c>
    </row>
    <row r="326" spans="1:5" x14ac:dyDescent="0.35">
      <c r="A326" t="s">
        <v>427</v>
      </c>
      <c r="B326" t="s">
        <v>1538</v>
      </c>
      <c r="C326" t="s">
        <v>14</v>
      </c>
      <c r="D326">
        <v>134500</v>
      </c>
      <c r="E326" t="s">
        <v>2</v>
      </c>
    </row>
    <row r="327" spans="1:5" x14ac:dyDescent="0.35">
      <c r="A327" t="s">
        <v>428</v>
      </c>
      <c r="B327" t="s">
        <v>1539</v>
      </c>
      <c r="C327" t="s">
        <v>15</v>
      </c>
      <c r="D327">
        <v>43600</v>
      </c>
      <c r="E327" t="s">
        <v>2</v>
      </c>
    </row>
    <row r="328" spans="1:5" x14ac:dyDescent="0.35">
      <c r="A328" t="s">
        <v>429</v>
      </c>
      <c r="B328" t="s">
        <v>1538</v>
      </c>
      <c r="C328" t="s">
        <v>14</v>
      </c>
      <c r="D328">
        <v>46800</v>
      </c>
      <c r="E328" t="s">
        <v>2</v>
      </c>
    </row>
    <row r="329" spans="1:5" x14ac:dyDescent="0.35">
      <c r="A329" t="s">
        <v>430</v>
      </c>
      <c r="B329" t="s">
        <v>1538</v>
      </c>
      <c r="C329" t="s">
        <v>14</v>
      </c>
      <c r="D329">
        <v>160600</v>
      </c>
      <c r="E329" t="s">
        <v>2</v>
      </c>
    </row>
    <row r="330" spans="1:5" x14ac:dyDescent="0.35">
      <c r="A330" t="s">
        <v>431</v>
      </c>
      <c r="B330" t="s">
        <v>1538</v>
      </c>
      <c r="C330" t="s">
        <v>14</v>
      </c>
      <c r="D330">
        <v>62300</v>
      </c>
      <c r="E330" t="s">
        <v>2</v>
      </c>
    </row>
    <row r="331" spans="1:5" x14ac:dyDescent="0.35">
      <c r="A331" t="s">
        <v>432</v>
      </c>
      <c r="B331" t="s">
        <v>1548</v>
      </c>
      <c r="C331" t="s">
        <v>24</v>
      </c>
      <c r="D331">
        <v>0</v>
      </c>
      <c r="E331" t="s">
        <v>2</v>
      </c>
    </row>
    <row r="332" spans="1:5" x14ac:dyDescent="0.35">
      <c r="A332" t="s">
        <v>433</v>
      </c>
      <c r="B332" t="s">
        <v>1542</v>
      </c>
      <c r="C332" t="s">
        <v>18</v>
      </c>
      <c r="D332">
        <v>0</v>
      </c>
      <c r="E332" t="s">
        <v>2</v>
      </c>
    </row>
    <row r="333" spans="1:5" x14ac:dyDescent="0.35">
      <c r="A333" t="s">
        <v>434</v>
      </c>
      <c r="B333" t="s">
        <v>1558</v>
      </c>
      <c r="C333" t="s">
        <v>34</v>
      </c>
      <c r="D333">
        <v>51900</v>
      </c>
      <c r="E333" t="s">
        <v>2</v>
      </c>
    </row>
    <row r="334" spans="1:5" x14ac:dyDescent="0.35">
      <c r="A334" t="s">
        <v>435</v>
      </c>
      <c r="B334" t="s">
        <v>1558</v>
      </c>
      <c r="C334" t="s">
        <v>34</v>
      </c>
      <c r="D334">
        <v>64000</v>
      </c>
      <c r="E334" t="s">
        <v>2</v>
      </c>
    </row>
    <row r="335" spans="1:5" x14ac:dyDescent="0.35">
      <c r="A335" t="s">
        <v>436</v>
      </c>
      <c r="B335" t="s">
        <v>1558</v>
      </c>
      <c r="C335" t="s">
        <v>34</v>
      </c>
      <c r="D335">
        <v>68500</v>
      </c>
      <c r="E335" t="s">
        <v>2</v>
      </c>
    </row>
    <row r="336" spans="1:5" x14ac:dyDescent="0.35">
      <c r="A336" t="s">
        <v>437</v>
      </c>
      <c r="B336" t="s">
        <v>1542</v>
      </c>
      <c r="C336" t="s">
        <v>18</v>
      </c>
      <c r="D336">
        <v>59800</v>
      </c>
      <c r="E336" t="s">
        <v>2</v>
      </c>
    </row>
    <row r="337" spans="1:5" x14ac:dyDescent="0.35">
      <c r="A337" t="s">
        <v>438</v>
      </c>
      <c r="B337" t="s">
        <v>1557</v>
      </c>
      <c r="C337" t="s">
        <v>33</v>
      </c>
      <c r="D337">
        <v>38900</v>
      </c>
      <c r="E337" t="s">
        <v>2</v>
      </c>
    </row>
    <row r="338" spans="1:5" x14ac:dyDescent="0.35">
      <c r="A338" t="s">
        <v>439</v>
      </c>
      <c r="B338" t="s">
        <v>1584</v>
      </c>
      <c r="C338" t="s">
        <v>60</v>
      </c>
      <c r="D338">
        <v>23100</v>
      </c>
      <c r="E338" t="s">
        <v>2</v>
      </c>
    </row>
    <row r="339" spans="1:5" x14ac:dyDescent="0.35">
      <c r="A339" t="s">
        <v>440</v>
      </c>
      <c r="B339" t="s">
        <v>1540</v>
      </c>
      <c r="C339" t="s">
        <v>16</v>
      </c>
      <c r="D339">
        <v>62300</v>
      </c>
      <c r="E339" t="s">
        <v>2</v>
      </c>
    </row>
    <row r="340" spans="1:5" x14ac:dyDescent="0.35">
      <c r="A340" t="s">
        <v>441</v>
      </c>
      <c r="B340" t="s">
        <v>1540</v>
      </c>
      <c r="C340" t="s">
        <v>16</v>
      </c>
      <c r="D340">
        <v>60900</v>
      </c>
      <c r="E340" t="s">
        <v>2</v>
      </c>
    </row>
    <row r="341" spans="1:5" x14ac:dyDescent="0.35">
      <c r="A341" t="s">
        <v>442</v>
      </c>
      <c r="B341" t="s">
        <v>1540</v>
      </c>
      <c r="C341" t="s">
        <v>16</v>
      </c>
      <c r="D341">
        <v>42400</v>
      </c>
      <c r="E341" t="s">
        <v>2</v>
      </c>
    </row>
    <row r="342" spans="1:5" x14ac:dyDescent="0.35">
      <c r="A342" t="s">
        <v>443</v>
      </c>
      <c r="B342" t="s">
        <v>1558</v>
      </c>
      <c r="C342" t="s">
        <v>34</v>
      </c>
      <c r="D342">
        <v>44500</v>
      </c>
      <c r="E342" t="s">
        <v>2</v>
      </c>
    </row>
    <row r="343" spans="1:5" x14ac:dyDescent="0.35">
      <c r="A343" t="s">
        <v>444</v>
      </c>
      <c r="B343" t="s">
        <v>1538</v>
      </c>
      <c r="C343" t="s">
        <v>14</v>
      </c>
      <c r="D343">
        <v>51700</v>
      </c>
      <c r="E343" t="s">
        <v>2</v>
      </c>
    </row>
    <row r="344" spans="1:5" x14ac:dyDescent="0.35">
      <c r="A344" t="s">
        <v>445</v>
      </c>
      <c r="B344" t="s">
        <v>1543</v>
      </c>
      <c r="C344" t="s">
        <v>19</v>
      </c>
      <c r="D344">
        <v>150100</v>
      </c>
      <c r="E344" t="s">
        <v>2</v>
      </c>
    </row>
    <row r="345" spans="1:5" x14ac:dyDescent="0.35">
      <c r="A345" t="s">
        <v>446</v>
      </c>
      <c r="B345" t="s">
        <v>1542</v>
      </c>
      <c r="C345" t="s">
        <v>18</v>
      </c>
      <c r="D345">
        <v>257700</v>
      </c>
      <c r="E345" t="s">
        <v>2</v>
      </c>
    </row>
    <row r="346" spans="1:5" x14ac:dyDescent="0.35">
      <c r="A346" t="s">
        <v>447</v>
      </c>
      <c r="B346" t="s">
        <v>1539</v>
      </c>
      <c r="C346" t="s">
        <v>15</v>
      </c>
      <c r="D346">
        <v>47500</v>
      </c>
      <c r="E346" t="s">
        <v>2</v>
      </c>
    </row>
    <row r="347" spans="1:5" x14ac:dyDescent="0.35">
      <c r="A347" t="s">
        <v>448</v>
      </c>
      <c r="B347" t="s">
        <v>1556</v>
      </c>
      <c r="C347" t="s">
        <v>32</v>
      </c>
      <c r="D347">
        <v>65500</v>
      </c>
      <c r="E347" t="s">
        <v>2</v>
      </c>
    </row>
    <row r="348" spans="1:5" x14ac:dyDescent="0.35">
      <c r="A348" t="s">
        <v>449</v>
      </c>
      <c r="B348" t="s">
        <v>1542</v>
      </c>
      <c r="C348" t="s">
        <v>18</v>
      </c>
      <c r="D348">
        <v>62400</v>
      </c>
      <c r="E348" t="s">
        <v>2</v>
      </c>
    </row>
    <row r="349" spans="1:5" x14ac:dyDescent="0.35">
      <c r="A349" t="s">
        <v>450</v>
      </c>
      <c r="B349" t="s">
        <v>1539</v>
      </c>
      <c r="C349" t="s">
        <v>15</v>
      </c>
      <c r="D349">
        <v>40400</v>
      </c>
      <c r="E349" t="s">
        <v>2</v>
      </c>
    </row>
    <row r="350" spans="1:5" x14ac:dyDescent="0.35">
      <c r="A350" t="s">
        <v>451</v>
      </c>
      <c r="B350" t="s">
        <v>1558</v>
      </c>
      <c r="C350" t="s">
        <v>34</v>
      </c>
      <c r="D350">
        <v>53100</v>
      </c>
      <c r="E350" t="s">
        <v>2</v>
      </c>
    </row>
    <row r="351" spans="1:5" x14ac:dyDescent="0.35">
      <c r="A351" t="s">
        <v>452</v>
      </c>
      <c r="B351" t="s">
        <v>1558</v>
      </c>
      <c r="C351" t="s">
        <v>34</v>
      </c>
      <c r="D351">
        <v>270200</v>
      </c>
      <c r="E351" t="s">
        <v>2</v>
      </c>
    </row>
    <row r="352" spans="1:5" x14ac:dyDescent="0.35">
      <c r="A352" t="s">
        <v>453</v>
      </c>
      <c r="B352" t="s">
        <v>1548</v>
      </c>
      <c r="C352" t="s">
        <v>24</v>
      </c>
      <c r="D352">
        <v>47400</v>
      </c>
      <c r="E352" t="s">
        <v>2</v>
      </c>
    </row>
    <row r="353" spans="1:5" x14ac:dyDescent="0.35">
      <c r="A353" t="s">
        <v>454</v>
      </c>
      <c r="B353" t="s">
        <v>1548</v>
      </c>
      <c r="C353" t="s">
        <v>24</v>
      </c>
      <c r="D353">
        <v>49200</v>
      </c>
      <c r="E353" t="s">
        <v>2</v>
      </c>
    </row>
    <row r="354" spans="1:5" x14ac:dyDescent="0.35">
      <c r="A354" t="s">
        <v>455</v>
      </c>
      <c r="B354" t="s">
        <v>1543</v>
      </c>
      <c r="C354" t="s">
        <v>19</v>
      </c>
      <c r="D354">
        <v>41400</v>
      </c>
      <c r="E354" t="s">
        <v>2</v>
      </c>
    </row>
    <row r="355" spans="1:5" x14ac:dyDescent="0.35">
      <c r="A355" t="s">
        <v>456</v>
      </c>
      <c r="B355" t="s">
        <v>1543</v>
      </c>
      <c r="C355" t="s">
        <v>19</v>
      </c>
      <c r="D355">
        <v>55700</v>
      </c>
      <c r="E355" t="s">
        <v>2</v>
      </c>
    </row>
    <row r="356" spans="1:5" x14ac:dyDescent="0.35">
      <c r="A356" t="s">
        <v>457</v>
      </c>
      <c r="B356" t="s">
        <v>1543</v>
      </c>
      <c r="C356" t="s">
        <v>19</v>
      </c>
      <c r="D356">
        <v>126800</v>
      </c>
      <c r="E356" t="s">
        <v>2</v>
      </c>
    </row>
    <row r="357" spans="1:5" x14ac:dyDescent="0.35">
      <c r="A357" t="s">
        <v>458</v>
      </c>
      <c r="B357" t="s">
        <v>1556</v>
      </c>
      <c r="C357" t="s">
        <v>32</v>
      </c>
      <c r="D357">
        <v>94400</v>
      </c>
      <c r="E357" t="s">
        <v>2</v>
      </c>
    </row>
    <row r="358" spans="1:5" x14ac:dyDescent="0.35">
      <c r="A358" t="s">
        <v>459</v>
      </c>
      <c r="B358" t="s">
        <v>1585</v>
      </c>
      <c r="C358" t="s">
        <v>61</v>
      </c>
      <c r="D358">
        <v>24800</v>
      </c>
      <c r="E358" t="s">
        <v>2</v>
      </c>
    </row>
    <row r="359" spans="1:5" x14ac:dyDescent="0.35">
      <c r="A359" t="s">
        <v>460</v>
      </c>
      <c r="B359" t="s">
        <v>1543</v>
      </c>
      <c r="C359" t="s">
        <v>19</v>
      </c>
      <c r="D359">
        <v>127200</v>
      </c>
      <c r="E359" t="s">
        <v>2</v>
      </c>
    </row>
    <row r="360" spans="1:5" x14ac:dyDescent="0.35">
      <c r="A360" t="s">
        <v>461</v>
      </c>
      <c r="B360" t="s">
        <v>1543</v>
      </c>
      <c r="C360" t="s">
        <v>19</v>
      </c>
      <c r="D360">
        <v>44800</v>
      </c>
      <c r="E360" t="s">
        <v>2</v>
      </c>
    </row>
    <row r="361" spans="1:5" x14ac:dyDescent="0.35">
      <c r="A361" t="s">
        <v>462</v>
      </c>
      <c r="B361" t="s">
        <v>1542</v>
      </c>
      <c r="C361" t="s">
        <v>18</v>
      </c>
      <c r="D361">
        <v>70000</v>
      </c>
      <c r="E361" t="s">
        <v>2</v>
      </c>
    </row>
    <row r="362" spans="1:5" x14ac:dyDescent="0.35">
      <c r="A362" t="s">
        <v>463</v>
      </c>
      <c r="B362" t="s">
        <v>1542</v>
      </c>
      <c r="C362" t="s">
        <v>18</v>
      </c>
      <c r="D362">
        <v>91900</v>
      </c>
      <c r="E362" t="s">
        <v>2</v>
      </c>
    </row>
    <row r="363" spans="1:5" x14ac:dyDescent="0.35">
      <c r="A363" t="s">
        <v>464</v>
      </c>
      <c r="B363" t="s">
        <v>1538</v>
      </c>
      <c r="C363" t="s">
        <v>14</v>
      </c>
      <c r="D363">
        <v>56800</v>
      </c>
      <c r="E363" t="s">
        <v>2</v>
      </c>
    </row>
    <row r="364" spans="1:5" x14ac:dyDescent="0.35">
      <c r="A364" t="s">
        <v>465</v>
      </c>
      <c r="B364" t="s">
        <v>1538</v>
      </c>
      <c r="C364" t="s">
        <v>14</v>
      </c>
      <c r="D364">
        <v>142500</v>
      </c>
      <c r="E364" t="s">
        <v>2</v>
      </c>
    </row>
    <row r="365" spans="1:5" x14ac:dyDescent="0.35">
      <c r="A365" t="s">
        <v>466</v>
      </c>
      <c r="B365" t="s">
        <v>1538</v>
      </c>
      <c r="C365" t="s">
        <v>14</v>
      </c>
      <c r="D365">
        <v>143500</v>
      </c>
      <c r="E365" t="s">
        <v>2</v>
      </c>
    </row>
    <row r="366" spans="1:5" x14ac:dyDescent="0.35">
      <c r="A366" t="s">
        <v>467</v>
      </c>
      <c r="B366" t="s">
        <v>1538</v>
      </c>
      <c r="C366" t="s">
        <v>14</v>
      </c>
      <c r="D366">
        <v>50800</v>
      </c>
      <c r="E366" t="s">
        <v>2</v>
      </c>
    </row>
    <row r="367" spans="1:5" x14ac:dyDescent="0.35">
      <c r="A367" t="s">
        <v>468</v>
      </c>
      <c r="B367" t="s">
        <v>1586</v>
      </c>
      <c r="C367" t="s">
        <v>62</v>
      </c>
      <c r="D367">
        <v>109800</v>
      </c>
      <c r="E367" t="s">
        <v>2</v>
      </c>
    </row>
    <row r="368" spans="1:5" x14ac:dyDescent="0.35">
      <c r="A368" t="s">
        <v>469</v>
      </c>
      <c r="B368" t="s">
        <v>1536</v>
      </c>
      <c r="C368" t="s">
        <v>12</v>
      </c>
      <c r="D368">
        <v>69200</v>
      </c>
      <c r="E368" t="s">
        <v>2</v>
      </c>
    </row>
    <row r="369" spans="1:5" x14ac:dyDescent="0.35">
      <c r="A369" t="s">
        <v>470</v>
      </c>
      <c r="B369" t="s">
        <v>1539</v>
      </c>
      <c r="C369" t="s">
        <v>15</v>
      </c>
      <c r="D369">
        <v>55000</v>
      </c>
      <c r="E369" t="s">
        <v>2</v>
      </c>
    </row>
    <row r="370" spans="1:5" x14ac:dyDescent="0.35">
      <c r="A370" t="s">
        <v>471</v>
      </c>
      <c r="B370" t="s">
        <v>1576</v>
      </c>
      <c r="C370" t="s">
        <v>52</v>
      </c>
      <c r="D370">
        <v>225500</v>
      </c>
      <c r="E370" t="s">
        <v>2</v>
      </c>
    </row>
    <row r="371" spans="1:5" x14ac:dyDescent="0.35">
      <c r="A371" t="s">
        <v>472</v>
      </c>
      <c r="B371" t="s">
        <v>1576</v>
      </c>
      <c r="C371" t="s">
        <v>52</v>
      </c>
      <c r="D371">
        <v>251900</v>
      </c>
      <c r="E371" t="s">
        <v>2</v>
      </c>
    </row>
    <row r="372" spans="1:5" x14ac:dyDescent="0.35">
      <c r="A372" t="s">
        <v>473</v>
      </c>
      <c r="B372" t="s">
        <v>1576</v>
      </c>
      <c r="C372" t="s">
        <v>52</v>
      </c>
      <c r="D372">
        <v>202800</v>
      </c>
      <c r="E372" t="s">
        <v>2</v>
      </c>
    </row>
    <row r="373" spans="1:5" x14ac:dyDescent="0.35">
      <c r="A373" t="s">
        <v>474</v>
      </c>
      <c r="B373" t="s">
        <v>1541</v>
      </c>
      <c r="C373" t="s">
        <v>17</v>
      </c>
      <c r="D373">
        <v>65300</v>
      </c>
      <c r="E373" t="s">
        <v>2</v>
      </c>
    </row>
    <row r="374" spans="1:5" x14ac:dyDescent="0.35">
      <c r="A374" t="s">
        <v>475</v>
      </c>
      <c r="B374" t="s">
        <v>1550</v>
      </c>
      <c r="C374" t="s">
        <v>26</v>
      </c>
      <c r="D374">
        <v>196000</v>
      </c>
      <c r="E374" t="s">
        <v>2</v>
      </c>
    </row>
    <row r="375" spans="1:5" x14ac:dyDescent="0.35">
      <c r="A375" t="s">
        <v>476</v>
      </c>
      <c r="B375" t="s">
        <v>1550</v>
      </c>
      <c r="C375" t="s">
        <v>26</v>
      </c>
      <c r="D375">
        <v>76200</v>
      </c>
      <c r="E375" t="s">
        <v>2</v>
      </c>
    </row>
    <row r="376" spans="1:5" x14ac:dyDescent="0.35">
      <c r="A376" t="s">
        <v>477</v>
      </c>
      <c r="B376" t="s">
        <v>1550</v>
      </c>
      <c r="C376" t="s">
        <v>26</v>
      </c>
      <c r="D376">
        <v>187600</v>
      </c>
      <c r="E376" t="s">
        <v>2</v>
      </c>
    </row>
    <row r="377" spans="1:5" x14ac:dyDescent="0.35">
      <c r="A377" t="s">
        <v>478</v>
      </c>
      <c r="B377" t="s">
        <v>1537</v>
      </c>
      <c r="C377" t="s">
        <v>13</v>
      </c>
      <c r="D377">
        <v>67400</v>
      </c>
      <c r="E377" t="s">
        <v>2</v>
      </c>
    </row>
    <row r="378" spans="1:5" x14ac:dyDescent="0.35">
      <c r="A378" t="s">
        <v>479</v>
      </c>
      <c r="B378" t="s">
        <v>1587</v>
      </c>
      <c r="C378" t="s">
        <v>63</v>
      </c>
      <c r="D378">
        <v>120400</v>
      </c>
      <c r="E378" t="s">
        <v>2</v>
      </c>
    </row>
    <row r="379" spans="1:5" x14ac:dyDescent="0.35">
      <c r="A379" t="s">
        <v>480</v>
      </c>
      <c r="B379" t="s">
        <v>1566</v>
      </c>
      <c r="C379" t="s">
        <v>42</v>
      </c>
      <c r="D379">
        <v>48900</v>
      </c>
      <c r="E379" t="s">
        <v>2</v>
      </c>
    </row>
    <row r="380" spans="1:5" x14ac:dyDescent="0.35">
      <c r="A380" t="s">
        <v>481</v>
      </c>
      <c r="B380" t="s">
        <v>1566</v>
      </c>
      <c r="C380" t="s">
        <v>42</v>
      </c>
      <c r="D380">
        <v>60100</v>
      </c>
      <c r="E380" t="s">
        <v>2</v>
      </c>
    </row>
    <row r="381" spans="1:5" x14ac:dyDescent="0.35">
      <c r="A381" t="s">
        <v>482</v>
      </c>
      <c r="B381" t="s">
        <v>1543</v>
      </c>
      <c r="C381" t="s">
        <v>19</v>
      </c>
      <c r="D381">
        <v>66600</v>
      </c>
      <c r="E381" t="s">
        <v>2</v>
      </c>
    </row>
    <row r="382" spans="1:5" x14ac:dyDescent="0.35">
      <c r="A382" t="s">
        <v>483</v>
      </c>
      <c r="B382" t="s">
        <v>1543</v>
      </c>
      <c r="C382" t="s">
        <v>19</v>
      </c>
      <c r="D382">
        <v>58800</v>
      </c>
      <c r="E382" t="s">
        <v>2</v>
      </c>
    </row>
    <row r="383" spans="1:5" x14ac:dyDescent="0.35">
      <c r="A383" t="s">
        <v>484</v>
      </c>
      <c r="B383" t="s">
        <v>1543</v>
      </c>
      <c r="C383" t="s">
        <v>19</v>
      </c>
      <c r="D383">
        <v>40100</v>
      </c>
      <c r="E383" t="s">
        <v>2</v>
      </c>
    </row>
    <row r="384" spans="1:5" x14ac:dyDescent="0.35">
      <c r="A384" t="s">
        <v>485</v>
      </c>
      <c r="B384" t="s">
        <v>1539</v>
      </c>
      <c r="C384" t="s">
        <v>15</v>
      </c>
      <c r="D384">
        <v>121400</v>
      </c>
      <c r="E384" t="s">
        <v>2</v>
      </c>
    </row>
    <row r="385" spans="1:5" x14ac:dyDescent="0.35">
      <c r="A385" t="s">
        <v>486</v>
      </c>
      <c r="B385" t="s">
        <v>1558</v>
      </c>
      <c r="C385" t="s">
        <v>34</v>
      </c>
      <c r="D385">
        <v>52300</v>
      </c>
      <c r="E385" t="s">
        <v>2</v>
      </c>
    </row>
    <row r="386" spans="1:5" x14ac:dyDescent="0.35">
      <c r="A386" t="s">
        <v>487</v>
      </c>
      <c r="B386" t="s">
        <v>1558</v>
      </c>
      <c r="C386" t="s">
        <v>34</v>
      </c>
      <c r="D386">
        <v>122400</v>
      </c>
      <c r="E386" t="s">
        <v>2</v>
      </c>
    </row>
    <row r="387" spans="1:5" x14ac:dyDescent="0.35">
      <c r="A387" t="s">
        <v>488</v>
      </c>
      <c r="B387" t="s">
        <v>1553</v>
      </c>
      <c r="C387" t="s">
        <v>29</v>
      </c>
      <c r="D387">
        <v>144100</v>
      </c>
      <c r="E387" t="s">
        <v>2</v>
      </c>
    </row>
    <row r="388" spans="1:5" x14ac:dyDescent="0.35">
      <c r="A388" t="s">
        <v>489</v>
      </c>
      <c r="B388" t="s">
        <v>1540</v>
      </c>
      <c r="C388" t="s">
        <v>16</v>
      </c>
      <c r="D388">
        <v>157700</v>
      </c>
      <c r="E388" t="s">
        <v>2</v>
      </c>
    </row>
    <row r="389" spans="1:5" x14ac:dyDescent="0.35">
      <c r="A389" t="s">
        <v>490</v>
      </c>
      <c r="B389" t="s">
        <v>1581</v>
      </c>
      <c r="C389" t="s">
        <v>57</v>
      </c>
      <c r="D389">
        <v>30900</v>
      </c>
      <c r="E389" t="s">
        <v>2</v>
      </c>
    </row>
    <row r="390" spans="1:5" x14ac:dyDescent="0.35">
      <c r="A390" t="s">
        <v>491</v>
      </c>
      <c r="B390" t="s">
        <v>1542</v>
      </c>
      <c r="C390" t="s">
        <v>18</v>
      </c>
      <c r="D390">
        <v>213700</v>
      </c>
      <c r="E390" t="s">
        <v>2</v>
      </c>
    </row>
    <row r="391" spans="1:5" x14ac:dyDescent="0.35">
      <c r="A391" t="s">
        <v>492</v>
      </c>
      <c r="B391" t="s">
        <v>1570</v>
      </c>
      <c r="C391" t="s">
        <v>46</v>
      </c>
      <c r="D391">
        <v>74300</v>
      </c>
      <c r="E391" t="s">
        <v>2</v>
      </c>
    </row>
    <row r="392" spans="1:5" x14ac:dyDescent="0.35">
      <c r="A392" t="s">
        <v>493</v>
      </c>
      <c r="B392" t="s">
        <v>1551</v>
      </c>
      <c r="C392" t="s">
        <v>27</v>
      </c>
      <c r="D392">
        <v>42000</v>
      </c>
      <c r="E392" t="s">
        <v>2</v>
      </c>
    </row>
    <row r="393" spans="1:5" x14ac:dyDescent="0.35">
      <c r="A393" t="s">
        <v>494</v>
      </c>
      <c r="B393" t="s">
        <v>1551</v>
      </c>
      <c r="C393" t="s">
        <v>27</v>
      </c>
      <c r="D393">
        <v>54000</v>
      </c>
      <c r="E393" t="s">
        <v>2</v>
      </c>
    </row>
    <row r="394" spans="1:5" x14ac:dyDescent="0.35">
      <c r="A394" t="s">
        <v>495</v>
      </c>
      <c r="B394" t="s">
        <v>1551</v>
      </c>
      <c r="C394" t="s">
        <v>27</v>
      </c>
      <c r="D394">
        <v>64200</v>
      </c>
      <c r="E394" t="s">
        <v>2</v>
      </c>
    </row>
    <row r="395" spans="1:5" x14ac:dyDescent="0.35">
      <c r="A395" t="s">
        <v>496</v>
      </c>
      <c r="B395" t="s">
        <v>1551</v>
      </c>
      <c r="C395" t="s">
        <v>27</v>
      </c>
      <c r="D395">
        <v>56900</v>
      </c>
      <c r="E395" t="s">
        <v>2</v>
      </c>
    </row>
    <row r="396" spans="1:5" x14ac:dyDescent="0.35">
      <c r="A396" t="s">
        <v>497</v>
      </c>
      <c r="B396" t="s">
        <v>1540</v>
      </c>
      <c r="C396" t="s">
        <v>16</v>
      </c>
      <c r="D396">
        <v>47800</v>
      </c>
      <c r="E396" t="s">
        <v>2</v>
      </c>
    </row>
    <row r="397" spans="1:5" x14ac:dyDescent="0.35">
      <c r="A397" t="s">
        <v>498</v>
      </c>
      <c r="B397" t="s">
        <v>1543</v>
      </c>
      <c r="C397" t="s">
        <v>19</v>
      </c>
      <c r="D397">
        <v>55700</v>
      </c>
      <c r="E397" t="s">
        <v>2</v>
      </c>
    </row>
    <row r="398" spans="1:5" x14ac:dyDescent="0.35">
      <c r="A398" t="s">
        <v>499</v>
      </c>
      <c r="B398" t="s">
        <v>1543</v>
      </c>
      <c r="C398" t="s">
        <v>19</v>
      </c>
      <c r="D398">
        <v>46500</v>
      </c>
      <c r="E398" t="s">
        <v>2</v>
      </c>
    </row>
    <row r="399" spans="1:5" x14ac:dyDescent="0.35">
      <c r="A399" t="s">
        <v>500</v>
      </c>
      <c r="B399" t="s">
        <v>1543</v>
      </c>
      <c r="C399" t="s">
        <v>19</v>
      </c>
      <c r="D399">
        <v>126200</v>
      </c>
      <c r="E399" t="s">
        <v>2</v>
      </c>
    </row>
    <row r="400" spans="1:5" x14ac:dyDescent="0.35">
      <c r="A400" t="s">
        <v>501</v>
      </c>
      <c r="B400" t="s">
        <v>1539</v>
      </c>
      <c r="C400" t="s">
        <v>15</v>
      </c>
      <c r="D400">
        <v>38600</v>
      </c>
      <c r="E400" t="s">
        <v>2</v>
      </c>
    </row>
    <row r="401" spans="1:5" x14ac:dyDescent="0.35">
      <c r="A401" t="s">
        <v>502</v>
      </c>
      <c r="B401" t="s">
        <v>1568</v>
      </c>
      <c r="C401" t="s">
        <v>44</v>
      </c>
      <c r="D401">
        <v>142800</v>
      </c>
      <c r="E401" t="s">
        <v>2</v>
      </c>
    </row>
    <row r="402" spans="1:5" x14ac:dyDescent="0.35">
      <c r="A402" t="s">
        <v>503</v>
      </c>
      <c r="B402" t="s">
        <v>1553</v>
      </c>
      <c r="C402" t="s">
        <v>29</v>
      </c>
      <c r="D402">
        <v>171300</v>
      </c>
      <c r="E402" t="s">
        <v>2</v>
      </c>
    </row>
    <row r="403" spans="1:5" x14ac:dyDescent="0.35">
      <c r="A403" t="s">
        <v>504</v>
      </c>
      <c r="B403" t="s">
        <v>1539</v>
      </c>
      <c r="C403" t="s">
        <v>15</v>
      </c>
      <c r="D403">
        <v>42000</v>
      </c>
      <c r="E403" t="s">
        <v>2</v>
      </c>
    </row>
    <row r="404" spans="1:5" x14ac:dyDescent="0.35">
      <c r="A404" t="s">
        <v>505</v>
      </c>
      <c r="B404" t="s">
        <v>1562</v>
      </c>
      <c r="C404" t="s">
        <v>38</v>
      </c>
      <c r="D404">
        <v>61000</v>
      </c>
      <c r="E404" t="s">
        <v>2</v>
      </c>
    </row>
    <row r="405" spans="1:5" x14ac:dyDescent="0.35">
      <c r="A405" t="s">
        <v>506</v>
      </c>
      <c r="B405" t="s">
        <v>1588</v>
      </c>
      <c r="C405" t="s">
        <v>64</v>
      </c>
      <c r="D405">
        <v>49800</v>
      </c>
      <c r="E405" t="s">
        <v>2</v>
      </c>
    </row>
    <row r="406" spans="1:5" x14ac:dyDescent="0.35">
      <c r="A406" t="s">
        <v>507</v>
      </c>
      <c r="B406" t="s">
        <v>1588</v>
      </c>
      <c r="C406" t="s">
        <v>64</v>
      </c>
      <c r="D406">
        <v>50600</v>
      </c>
      <c r="E406" t="s">
        <v>2</v>
      </c>
    </row>
    <row r="407" spans="1:5" x14ac:dyDescent="0.35">
      <c r="A407" t="s">
        <v>508</v>
      </c>
      <c r="B407" t="s">
        <v>1576</v>
      </c>
      <c r="C407" t="s">
        <v>52</v>
      </c>
      <c r="D407">
        <v>95300</v>
      </c>
      <c r="E407" t="s">
        <v>2</v>
      </c>
    </row>
    <row r="408" spans="1:5" x14ac:dyDescent="0.35">
      <c r="A408" t="s">
        <v>509</v>
      </c>
      <c r="B408" t="s">
        <v>1576</v>
      </c>
      <c r="C408" t="s">
        <v>52</v>
      </c>
      <c r="D408">
        <v>107700</v>
      </c>
      <c r="E408" t="s">
        <v>2</v>
      </c>
    </row>
    <row r="409" spans="1:5" x14ac:dyDescent="0.35">
      <c r="A409" t="s">
        <v>510</v>
      </c>
      <c r="B409" t="s">
        <v>1576</v>
      </c>
      <c r="C409" t="s">
        <v>52</v>
      </c>
      <c r="D409">
        <v>113400</v>
      </c>
      <c r="E409" t="s">
        <v>2</v>
      </c>
    </row>
    <row r="410" spans="1:5" x14ac:dyDescent="0.35">
      <c r="A410" t="s">
        <v>511</v>
      </c>
      <c r="B410" t="s">
        <v>1576</v>
      </c>
      <c r="C410" t="s">
        <v>52</v>
      </c>
      <c r="D410">
        <v>73600</v>
      </c>
      <c r="E410" t="s">
        <v>2</v>
      </c>
    </row>
    <row r="411" spans="1:5" x14ac:dyDescent="0.35">
      <c r="A411" t="s">
        <v>512</v>
      </c>
      <c r="B411" t="s">
        <v>1562</v>
      </c>
      <c r="C411" t="s">
        <v>38</v>
      </c>
      <c r="D411">
        <v>54100</v>
      </c>
      <c r="E411" t="s">
        <v>2</v>
      </c>
    </row>
    <row r="412" spans="1:5" x14ac:dyDescent="0.35">
      <c r="A412" t="s">
        <v>513</v>
      </c>
      <c r="B412" t="s">
        <v>1558</v>
      </c>
      <c r="C412" t="s">
        <v>34</v>
      </c>
      <c r="D412">
        <v>88700</v>
      </c>
      <c r="E412" t="s">
        <v>2</v>
      </c>
    </row>
    <row r="413" spans="1:5" x14ac:dyDescent="0.35">
      <c r="A413" t="s">
        <v>514</v>
      </c>
      <c r="B413" t="s">
        <v>1558</v>
      </c>
      <c r="C413" t="s">
        <v>34</v>
      </c>
      <c r="D413">
        <v>46000</v>
      </c>
      <c r="E413" t="s">
        <v>2</v>
      </c>
    </row>
    <row r="414" spans="1:5" x14ac:dyDescent="0.35">
      <c r="A414" t="s">
        <v>515</v>
      </c>
      <c r="B414" t="s">
        <v>1558</v>
      </c>
      <c r="C414" t="s">
        <v>34</v>
      </c>
      <c r="D414">
        <v>61000</v>
      </c>
      <c r="E414" t="s">
        <v>2</v>
      </c>
    </row>
    <row r="415" spans="1:5" x14ac:dyDescent="0.35">
      <c r="A415" t="s">
        <v>516</v>
      </c>
      <c r="B415" t="s">
        <v>1558</v>
      </c>
      <c r="C415" t="s">
        <v>34</v>
      </c>
      <c r="D415">
        <v>56800</v>
      </c>
      <c r="E415" t="s">
        <v>2</v>
      </c>
    </row>
    <row r="416" spans="1:5" x14ac:dyDescent="0.35">
      <c r="A416" t="s">
        <v>517</v>
      </c>
      <c r="B416" t="s">
        <v>1558</v>
      </c>
      <c r="C416" t="s">
        <v>34</v>
      </c>
      <c r="D416">
        <v>53600</v>
      </c>
      <c r="E416" t="s">
        <v>2</v>
      </c>
    </row>
    <row r="417" spans="1:5" x14ac:dyDescent="0.35">
      <c r="A417" t="s">
        <v>518</v>
      </c>
      <c r="B417" t="s">
        <v>1558</v>
      </c>
      <c r="C417" t="s">
        <v>34</v>
      </c>
      <c r="D417">
        <v>45000</v>
      </c>
      <c r="E417" t="s">
        <v>2</v>
      </c>
    </row>
    <row r="418" spans="1:5" x14ac:dyDescent="0.35">
      <c r="A418" t="s">
        <v>519</v>
      </c>
      <c r="B418" t="s">
        <v>1542</v>
      </c>
      <c r="C418" t="s">
        <v>18</v>
      </c>
      <c r="D418">
        <v>55700</v>
      </c>
      <c r="E418" t="s">
        <v>2</v>
      </c>
    </row>
    <row r="419" spans="1:5" x14ac:dyDescent="0.35">
      <c r="A419" t="s">
        <v>520</v>
      </c>
      <c r="B419" t="s">
        <v>1542</v>
      </c>
      <c r="C419" t="s">
        <v>18</v>
      </c>
      <c r="D419">
        <v>57000</v>
      </c>
      <c r="E419" t="s">
        <v>2</v>
      </c>
    </row>
    <row r="420" spans="1:5" x14ac:dyDescent="0.35">
      <c r="A420" t="s">
        <v>521</v>
      </c>
      <c r="B420" t="s">
        <v>1538</v>
      </c>
      <c r="C420" t="s">
        <v>14</v>
      </c>
      <c r="D420">
        <v>86900</v>
      </c>
      <c r="E420" t="s">
        <v>2</v>
      </c>
    </row>
    <row r="421" spans="1:5" x14ac:dyDescent="0.35">
      <c r="A421" t="s">
        <v>522</v>
      </c>
      <c r="B421" t="s">
        <v>1540</v>
      </c>
      <c r="C421" t="s">
        <v>16</v>
      </c>
      <c r="D421">
        <v>55200</v>
      </c>
      <c r="E421" t="s">
        <v>2</v>
      </c>
    </row>
    <row r="422" spans="1:5" x14ac:dyDescent="0.35">
      <c r="A422" t="s">
        <v>523</v>
      </c>
      <c r="B422" t="s">
        <v>1560</v>
      </c>
      <c r="C422" t="s">
        <v>36</v>
      </c>
      <c r="D422">
        <v>44700</v>
      </c>
      <c r="E422" t="s">
        <v>2</v>
      </c>
    </row>
    <row r="423" spans="1:5" x14ac:dyDescent="0.35">
      <c r="A423" t="s">
        <v>524</v>
      </c>
      <c r="B423" t="s">
        <v>1560</v>
      </c>
      <c r="C423" t="s">
        <v>36</v>
      </c>
      <c r="D423">
        <v>64400</v>
      </c>
      <c r="E423" t="s">
        <v>2</v>
      </c>
    </row>
    <row r="424" spans="1:5" x14ac:dyDescent="0.35">
      <c r="A424" t="s">
        <v>525</v>
      </c>
      <c r="B424" t="s">
        <v>1560</v>
      </c>
      <c r="C424" t="s">
        <v>36</v>
      </c>
      <c r="D424">
        <v>120100</v>
      </c>
      <c r="E424" t="s">
        <v>2</v>
      </c>
    </row>
    <row r="425" spans="1:5" x14ac:dyDescent="0.35">
      <c r="A425" t="s">
        <v>526</v>
      </c>
      <c r="B425" t="s">
        <v>1540</v>
      </c>
      <c r="C425" t="s">
        <v>16</v>
      </c>
      <c r="D425">
        <v>205200</v>
      </c>
      <c r="E425" t="s">
        <v>2</v>
      </c>
    </row>
    <row r="426" spans="1:5" x14ac:dyDescent="0.35">
      <c r="A426" t="s">
        <v>527</v>
      </c>
      <c r="B426" t="s">
        <v>1538</v>
      </c>
      <c r="C426" t="s">
        <v>14</v>
      </c>
      <c r="D426">
        <v>430500</v>
      </c>
      <c r="E426" t="s">
        <v>2</v>
      </c>
    </row>
    <row r="427" spans="1:5" x14ac:dyDescent="0.35">
      <c r="A427" t="s">
        <v>528</v>
      </c>
      <c r="B427" t="s">
        <v>1538</v>
      </c>
      <c r="C427" t="s">
        <v>14</v>
      </c>
      <c r="D427">
        <v>65500</v>
      </c>
      <c r="E427" t="s">
        <v>2</v>
      </c>
    </row>
    <row r="428" spans="1:5" x14ac:dyDescent="0.35">
      <c r="A428" t="s">
        <v>529</v>
      </c>
      <c r="B428" t="s">
        <v>1538</v>
      </c>
      <c r="C428" t="s">
        <v>14</v>
      </c>
      <c r="D428">
        <v>53000</v>
      </c>
      <c r="E428" t="s">
        <v>2</v>
      </c>
    </row>
    <row r="429" spans="1:5" x14ac:dyDescent="0.35">
      <c r="A429" t="s">
        <v>530</v>
      </c>
      <c r="B429" t="s">
        <v>1574</v>
      </c>
      <c r="C429" t="s">
        <v>50</v>
      </c>
      <c r="D429">
        <v>46800</v>
      </c>
      <c r="E429" t="s">
        <v>2</v>
      </c>
    </row>
    <row r="430" spans="1:5" x14ac:dyDescent="0.35">
      <c r="A430" t="s">
        <v>531</v>
      </c>
      <c r="B430" t="s">
        <v>1541</v>
      </c>
      <c r="C430" t="s">
        <v>17</v>
      </c>
      <c r="D430">
        <v>58700</v>
      </c>
      <c r="E430" t="s">
        <v>2</v>
      </c>
    </row>
    <row r="431" spans="1:5" x14ac:dyDescent="0.35">
      <c r="A431" t="s">
        <v>532</v>
      </c>
      <c r="B431" t="s">
        <v>1543</v>
      </c>
      <c r="C431" t="s">
        <v>19</v>
      </c>
      <c r="D431">
        <v>56000</v>
      </c>
      <c r="E431" t="s">
        <v>2</v>
      </c>
    </row>
    <row r="432" spans="1:5" x14ac:dyDescent="0.35">
      <c r="A432" t="s">
        <v>533</v>
      </c>
      <c r="B432" t="s">
        <v>1543</v>
      </c>
      <c r="C432" t="s">
        <v>19</v>
      </c>
      <c r="D432">
        <v>44800</v>
      </c>
      <c r="E432" t="s">
        <v>2</v>
      </c>
    </row>
    <row r="433" spans="1:5" x14ac:dyDescent="0.35">
      <c r="A433" t="s">
        <v>534</v>
      </c>
      <c r="B433" t="s">
        <v>1574</v>
      </c>
      <c r="C433" t="s">
        <v>50</v>
      </c>
      <c r="D433">
        <v>46000</v>
      </c>
      <c r="E433" t="s">
        <v>2</v>
      </c>
    </row>
    <row r="434" spans="1:5" x14ac:dyDescent="0.35">
      <c r="A434" t="s">
        <v>535</v>
      </c>
      <c r="B434" t="s">
        <v>1574</v>
      </c>
      <c r="C434" t="s">
        <v>50</v>
      </c>
      <c r="D434">
        <v>43400</v>
      </c>
      <c r="E434" t="s">
        <v>2</v>
      </c>
    </row>
    <row r="435" spans="1:5" x14ac:dyDescent="0.35">
      <c r="A435" t="s">
        <v>536</v>
      </c>
      <c r="B435" t="s">
        <v>1541</v>
      </c>
      <c r="C435" t="s">
        <v>17</v>
      </c>
      <c r="D435">
        <v>75500</v>
      </c>
      <c r="E435" t="s">
        <v>2</v>
      </c>
    </row>
    <row r="436" spans="1:5" x14ac:dyDescent="0.35">
      <c r="A436" t="s">
        <v>537</v>
      </c>
      <c r="B436" t="s">
        <v>1582</v>
      </c>
      <c r="C436" t="s">
        <v>58</v>
      </c>
      <c r="D436">
        <v>186600</v>
      </c>
      <c r="E436" t="s">
        <v>2</v>
      </c>
    </row>
    <row r="437" spans="1:5" x14ac:dyDescent="0.35">
      <c r="A437" t="s">
        <v>538</v>
      </c>
      <c r="B437" t="s">
        <v>1582</v>
      </c>
      <c r="C437" t="s">
        <v>58</v>
      </c>
      <c r="D437">
        <v>208500</v>
      </c>
      <c r="E437" t="s">
        <v>2</v>
      </c>
    </row>
    <row r="438" spans="1:5" x14ac:dyDescent="0.35">
      <c r="A438" t="s">
        <v>539</v>
      </c>
      <c r="B438" t="s">
        <v>1582</v>
      </c>
      <c r="C438" t="s">
        <v>58</v>
      </c>
      <c r="D438">
        <v>112100</v>
      </c>
      <c r="E438" t="s">
        <v>2</v>
      </c>
    </row>
    <row r="439" spans="1:5" x14ac:dyDescent="0.35">
      <c r="A439" t="s">
        <v>540</v>
      </c>
      <c r="B439" t="s">
        <v>1541</v>
      </c>
      <c r="C439" t="s">
        <v>17</v>
      </c>
      <c r="D439">
        <v>57200</v>
      </c>
      <c r="E439" t="s">
        <v>2</v>
      </c>
    </row>
    <row r="440" spans="1:5" x14ac:dyDescent="0.35">
      <c r="A440" t="s">
        <v>541</v>
      </c>
      <c r="B440" t="s">
        <v>1541</v>
      </c>
      <c r="C440" t="s">
        <v>17</v>
      </c>
      <c r="D440">
        <v>65200</v>
      </c>
      <c r="E440" t="s">
        <v>2</v>
      </c>
    </row>
    <row r="441" spans="1:5" x14ac:dyDescent="0.35">
      <c r="A441" t="s">
        <v>542</v>
      </c>
      <c r="B441" t="s">
        <v>1555</v>
      </c>
      <c r="C441" t="s">
        <v>31</v>
      </c>
      <c r="D441">
        <v>26300</v>
      </c>
      <c r="E441" t="s">
        <v>2</v>
      </c>
    </row>
    <row r="442" spans="1:5" x14ac:dyDescent="0.35">
      <c r="A442" t="s">
        <v>543</v>
      </c>
      <c r="B442" t="s">
        <v>1534</v>
      </c>
      <c r="C442" t="s">
        <v>10</v>
      </c>
      <c r="D442">
        <v>38600</v>
      </c>
      <c r="E442" t="s">
        <v>2</v>
      </c>
    </row>
    <row r="443" spans="1:5" x14ac:dyDescent="0.35">
      <c r="A443" t="s">
        <v>544</v>
      </c>
      <c r="B443" t="s">
        <v>1543</v>
      </c>
      <c r="C443" t="s">
        <v>19</v>
      </c>
      <c r="D443">
        <v>44400</v>
      </c>
      <c r="E443" t="s">
        <v>2</v>
      </c>
    </row>
    <row r="444" spans="1:5" x14ac:dyDescent="0.35">
      <c r="A444" t="s">
        <v>545</v>
      </c>
      <c r="B444" t="s">
        <v>1551</v>
      </c>
      <c r="C444" t="s">
        <v>27</v>
      </c>
      <c r="D444">
        <v>62700</v>
      </c>
      <c r="E444" t="s">
        <v>2</v>
      </c>
    </row>
    <row r="445" spans="1:5" x14ac:dyDescent="0.35">
      <c r="A445" t="s">
        <v>546</v>
      </c>
      <c r="B445" t="s">
        <v>1550</v>
      </c>
      <c r="C445" t="s">
        <v>26</v>
      </c>
      <c r="D445">
        <v>51500</v>
      </c>
      <c r="E445" t="s">
        <v>2</v>
      </c>
    </row>
    <row r="446" spans="1:5" x14ac:dyDescent="0.35">
      <c r="A446" t="s">
        <v>547</v>
      </c>
      <c r="B446" t="s">
        <v>1589</v>
      </c>
      <c r="C446" t="s">
        <v>65</v>
      </c>
      <c r="D446">
        <v>111300</v>
      </c>
      <c r="E446" t="s">
        <v>2</v>
      </c>
    </row>
    <row r="447" spans="1:5" x14ac:dyDescent="0.35">
      <c r="A447" t="s">
        <v>548</v>
      </c>
      <c r="B447" t="s">
        <v>1542</v>
      </c>
      <c r="C447" t="s">
        <v>18</v>
      </c>
      <c r="D447">
        <v>58200</v>
      </c>
      <c r="E447" t="s">
        <v>2</v>
      </c>
    </row>
    <row r="448" spans="1:5" x14ac:dyDescent="0.35">
      <c r="A448" t="s">
        <v>549</v>
      </c>
      <c r="B448" t="s">
        <v>1553</v>
      </c>
      <c r="C448" t="s">
        <v>29</v>
      </c>
      <c r="D448">
        <v>107600</v>
      </c>
      <c r="E448" t="s">
        <v>2</v>
      </c>
    </row>
    <row r="449" spans="1:5" x14ac:dyDescent="0.35">
      <c r="A449" t="s">
        <v>550</v>
      </c>
      <c r="B449" t="s">
        <v>1562</v>
      </c>
      <c r="C449" t="s">
        <v>38</v>
      </c>
      <c r="D449">
        <v>60300</v>
      </c>
      <c r="E449" t="s">
        <v>2</v>
      </c>
    </row>
    <row r="450" spans="1:5" x14ac:dyDescent="0.35">
      <c r="A450" t="s">
        <v>551</v>
      </c>
      <c r="B450" t="s">
        <v>1538</v>
      </c>
      <c r="C450" t="s">
        <v>14</v>
      </c>
      <c r="D450">
        <v>52700</v>
      </c>
      <c r="E450" t="s">
        <v>2</v>
      </c>
    </row>
    <row r="451" spans="1:5" x14ac:dyDescent="0.35">
      <c r="A451" t="s">
        <v>552</v>
      </c>
      <c r="B451" t="s">
        <v>1538</v>
      </c>
      <c r="C451" t="s">
        <v>14</v>
      </c>
      <c r="D451">
        <v>197900</v>
      </c>
      <c r="E451" t="s">
        <v>2</v>
      </c>
    </row>
    <row r="452" spans="1:5" x14ac:dyDescent="0.35">
      <c r="A452" t="s">
        <v>553</v>
      </c>
      <c r="B452" t="s">
        <v>1538</v>
      </c>
      <c r="C452" t="s">
        <v>14</v>
      </c>
      <c r="D452">
        <v>169400</v>
      </c>
      <c r="E452" t="s">
        <v>2</v>
      </c>
    </row>
    <row r="453" spans="1:5" x14ac:dyDescent="0.35">
      <c r="A453" t="s">
        <v>554</v>
      </c>
      <c r="B453" t="s">
        <v>1538</v>
      </c>
      <c r="C453" t="s">
        <v>14</v>
      </c>
      <c r="D453">
        <v>69000</v>
      </c>
      <c r="E453" t="s">
        <v>2</v>
      </c>
    </row>
    <row r="454" spans="1:5" x14ac:dyDescent="0.35">
      <c r="A454" t="s">
        <v>555</v>
      </c>
      <c r="B454" t="s">
        <v>1538</v>
      </c>
      <c r="C454" t="s">
        <v>14</v>
      </c>
      <c r="D454">
        <v>25200</v>
      </c>
      <c r="E454" t="s">
        <v>2</v>
      </c>
    </row>
    <row r="455" spans="1:5" x14ac:dyDescent="0.35">
      <c r="A455" t="s">
        <v>556</v>
      </c>
      <c r="B455" t="s">
        <v>1538</v>
      </c>
      <c r="C455" t="s">
        <v>14</v>
      </c>
      <c r="D455">
        <v>70000</v>
      </c>
      <c r="E455" t="s">
        <v>2</v>
      </c>
    </row>
    <row r="456" spans="1:5" x14ac:dyDescent="0.35">
      <c r="A456" t="s">
        <v>557</v>
      </c>
      <c r="B456" t="s">
        <v>1563</v>
      </c>
      <c r="C456" t="s">
        <v>39</v>
      </c>
      <c r="D456">
        <v>10100</v>
      </c>
      <c r="E456" t="s">
        <v>2</v>
      </c>
    </row>
    <row r="457" spans="1:5" x14ac:dyDescent="0.35">
      <c r="A457" t="s">
        <v>558</v>
      </c>
      <c r="B457" t="s">
        <v>1557</v>
      </c>
      <c r="C457" t="s">
        <v>33</v>
      </c>
      <c r="D457">
        <v>52300</v>
      </c>
      <c r="E457" t="s">
        <v>2</v>
      </c>
    </row>
    <row r="458" spans="1:5" x14ac:dyDescent="0.35">
      <c r="A458" t="s">
        <v>559</v>
      </c>
      <c r="B458" t="s">
        <v>1550</v>
      </c>
      <c r="C458" t="s">
        <v>26</v>
      </c>
      <c r="D458">
        <v>156000</v>
      </c>
      <c r="E458" t="s">
        <v>2</v>
      </c>
    </row>
    <row r="459" spans="1:5" x14ac:dyDescent="0.35">
      <c r="A459" t="s">
        <v>560</v>
      </c>
      <c r="B459" t="s">
        <v>1540</v>
      </c>
      <c r="C459" t="s">
        <v>16</v>
      </c>
      <c r="D459">
        <v>49900</v>
      </c>
      <c r="E459" t="s">
        <v>2</v>
      </c>
    </row>
    <row r="460" spans="1:5" x14ac:dyDescent="0.35">
      <c r="A460" t="s">
        <v>561</v>
      </c>
      <c r="B460" t="s">
        <v>1558</v>
      </c>
      <c r="C460" t="s">
        <v>34</v>
      </c>
      <c r="D460">
        <v>55600</v>
      </c>
      <c r="E460" t="s">
        <v>2</v>
      </c>
    </row>
    <row r="461" spans="1:5" x14ac:dyDescent="0.35">
      <c r="A461" t="s">
        <v>562</v>
      </c>
      <c r="B461" t="s">
        <v>1558</v>
      </c>
      <c r="C461" t="s">
        <v>34</v>
      </c>
      <c r="D461">
        <v>52800</v>
      </c>
      <c r="E461" t="s">
        <v>2</v>
      </c>
    </row>
    <row r="462" spans="1:5" x14ac:dyDescent="0.35">
      <c r="A462" t="s">
        <v>563</v>
      </c>
      <c r="B462" t="s">
        <v>1542</v>
      </c>
      <c r="C462" t="s">
        <v>18</v>
      </c>
      <c r="D462">
        <v>135300</v>
      </c>
      <c r="E462" t="s">
        <v>2</v>
      </c>
    </row>
    <row r="463" spans="1:5" x14ac:dyDescent="0.35">
      <c r="A463" t="s">
        <v>564</v>
      </c>
      <c r="B463" t="s">
        <v>1540</v>
      </c>
      <c r="C463" t="s">
        <v>16</v>
      </c>
      <c r="D463">
        <v>64400</v>
      </c>
      <c r="E463" t="s">
        <v>2</v>
      </c>
    </row>
    <row r="464" spans="1:5" x14ac:dyDescent="0.35">
      <c r="A464" t="s">
        <v>565</v>
      </c>
      <c r="B464" t="s">
        <v>1558</v>
      </c>
      <c r="C464" t="s">
        <v>34</v>
      </c>
      <c r="D464">
        <v>64400</v>
      </c>
      <c r="E464" t="s">
        <v>2</v>
      </c>
    </row>
    <row r="465" spans="1:5" x14ac:dyDescent="0.35">
      <c r="A465" t="s">
        <v>566</v>
      </c>
      <c r="B465" t="s">
        <v>1543</v>
      </c>
      <c r="C465" t="s">
        <v>19</v>
      </c>
      <c r="D465">
        <v>46300</v>
      </c>
      <c r="E465" t="s">
        <v>2</v>
      </c>
    </row>
    <row r="466" spans="1:5" x14ac:dyDescent="0.35">
      <c r="A466" t="s">
        <v>567</v>
      </c>
      <c r="B466" t="s">
        <v>1542</v>
      </c>
      <c r="C466" t="s">
        <v>18</v>
      </c>
      <c r="D466">
        <v>141000</v>
      </c>
      <c r="E466" t="s">
        <v>2</v>
      </c>
    </row>
    <row r="467" spans="1:5" x14ac:dyDescent="0.35">
      <c r="A467" t="s">
        <v>568</v>
      </c>
      <c r="B467" t="s">
        <v>1543</v>
      </c>
      <c r="C467" t="s">
        <v>19</v>
      </c>
      <c r="D467">
        <v>49700</v>
      </c>
      <c r="E467" t="s">
        <v>2</v>
      </c>
    </row>
    <row r="468" spans="1:5" x14ac:dyDescent="0.35">
      <c r="A468" t="s">
        <v>569</v>
      </c>
      <c r="B468" t="s">
        <v>1543</v>
      </c>
      <c r="C468" t="s">
        <v>19</v>
      </c>
      <c r="D468">
        <v>65900</v>
      </c>
      <c r="E468" t="s">
        <v>2</v>
      </c>
    </row>
    <row r="469" spans="1:5" x14ac:dyDescent="0.35">
      <c r="A469" t="s">
        <v>570</v>
      </c>
      <c r="B469" t="s">
        <v>1543</v>
      </c>
      <c r="C469" t="s">
        <v>19</v>
      </c>
      <c r="D469">
        <v>56200</v>
      </c>
      <c r="E469" t="s">
        <v>2</v>
      </c>
    </row>
    <row r="470" spans="1:5" x14ac:dyDescent="0.35">
      <c r="A470" t="s">
        <v>571</v>
      </c>
      <c r="B470" t="s">
        <v>1568</v>
      </c>
      <c r="C470" t="s">
        <v>44</v>
      </c>
      <c r="D470">
        <v>137200</v>
      </c>
      <c r="E470" t="s">
        <v>2</v>
      </c>
    </row>
    <row r="471" spans="1:5" x14ac:dyDescent="0.35">
      <c r="A471" t="s">
        <v>572</v>
      </c>
      <c r="B471" t="s">
        <v>1590</v>
      </c>
      <c r="C471" t="s">
        <v>66</v>
      </c>
      <c r="D471">
        <v>117000</v>
      </c>
      <c r="E471" t="s">
        <v>2</v>
      </c>
    </row>
    <row r="472" spans="1:5" x14ac:dyDescent="0.35">
      <c r="A472" t="s">
        <v>573</v>
      </c>
      <c r="B472" t="s">
        <v>1538</v>
      </c>
      <c r="C472" t="s">
        <v>14</v>
      </c>
      <c r="D472">
        <v>131300</v>
      </c>
      <c r="E472" t="s">
        <v>2</v>
      </c>
    </row>
    <row r="473" spans="1:5" x14ac:dyDescent="0.35">
      <c r="A473" t="s">
        <v>574</v>
      </c>
      <c r="B473" t="s">
        <v>1547</v>
      </c>
      <c r="C473" t="s">
        <v>23</v>
      </c>
      <c r="D473">
        <v>64900</v>
      </c>
      <c r="E473" t="s">
        <v>2</v>
      </c>
    </row>
    <row r="474" spans="1:5" x14ac:dyDescent="0.35">
      <c r="A474" t="s">
        <v>575</v>
      </c>
      <c r="B474" t="s">
        <v>1538</v>
      </c>
      <c r="C474" t="s">
        <v>14</v>
      </c>
      <c r="D474">
        <v>45100</v>
      </c>
      <c r="E474" t="s">
        <v>2</v>
      </c>
    </row>
    <row r="475" spans="1:5" x14ac:dyDescent="0.35">
      <c r="A475" t="s">
        <v>576</v>
      </c>
      <c r="B475" t="s">
        <v>1538</v>
      </c>
      <c r="C475" t="s">
        <v>14</v>
      </c>
      <c r="D475">
        <v>234600</v>
      </c>
      <c r="E475" t="s">
        <v>2</v>
      </c>
    </row>
    <row r="476" spans="1:5" x14ac:dyDescent="0.35">
      <c r="A476" t="s">
        <v>577</v>
      </c>
      <c r="B476" t="s">
        <v>1538</v>
      </c>
      <c r="C476" t="s">
        <v>14</v>
      </c>
      <c r="D476">
        <v>190700</v>
      </c>
      <c r="E476" t="s">
        <v>2</v>
      </c>
    </row>
    <row r="477" spans="1:5" x14ac:dyDescent="0.35">
      <c r="A477" t="s">
        <v>578</v>
      </c>
      <c r="B477" t="s">
        <v>1538</v>
      </c>
      <c r="C477" t="s">
        <v>14</v>
      </c>
      <c r="D477">
        <v>217200</v>
      </c>
      <c r="E477" t="s">
        <v>2</v>
      </c>
    </row>
    <row r="478" spans="1:5" x14ac:dyDescent="0.35">
      <c r="A478" t="s">
        <v>579</v>
      </c>
      <c r="B478" t="s">
        <v>1538</v>
      </c>
      <c r="C478" t="s">
        <v>14</v>
      </c>
      <c r="D478">
        <v>58000</v>
      </c>
      <c r="E478" t="s">
        <v>2</v>
      </c>
    </row>
    <row r="479" spans="1:5" x14ac:dyDescent="0.35">
      <c r="A479" t="s">
        <v>580</v>
      </c>
      <c r="B479" t="s">
        <v>1538</v>
      </c>
      <c r="C479" t="s">
        <v>14</v>
      </c>
      <c r="D479">
        <v>50500</v>
      </c>
      <c r="E479" t="s">
        <v>2</v>
      </c>
    </row>
    <row r="480" spans="1:5" x14ac:dyDescent="0.35">
      <c r="A480" t="s">
        <v>581</v>
      </c>
      <c r="B480" t="s">
        <v>1591</v>
      </c>
      <c r="C480" t="s">
        <v>67</v>
      </c>
      <c r="D480">
        <v>58900</v>
      </c>
      <c r="E480" t="s">
        <v>2</v>
      </c>
    </row>
    <row r="481" spans="1:5" x14ac:dyDescent="0.35">
      <c r="A481" t="s">
        <v>582</v>
      </c>
      <c r="B481" t="s">
        <v>1550</v>
      </c>
      <c r="C481" t="s">
        <v>26</v>
      </c>
      <c r="D481">
        <v>47700</v>
      </c>
      <c r="E481" t="s">
        <v>2</v>
      </c>
    </row>
    <row r="482" spans="1:5" x14ac:dyDescent="0.35">
      <c r="A482" t="s">
        <v>583</v>
      </c>
      <c r="B482" t="s">
        <v>1553</v>
      </c>
      <c r="C482" t="s">
        <v>29</v>
      </c>
      <c r="D482">
        <v>171600</v>
      </c>
      <c r="E482" t="s">
        <v>2</v>
      </c>
    </row>
    <row r="483" spans="1:5" x14ac:dyDescent="0.35">
      <c r="A483" t="s">
        <v>584</v>
      </c>
      <c r="B483" t="s">
        <v>1557</v>
      </c>
      <c r="C483" t="s">
        <v>33</v>
      </c>
      <c r="D483">
        <v>49800</v>
      </c>
      <c r="E483" t="s">
        <v>2</v>
      </c>
    </row>
    <row r="484" spans="1:5" x14ac:dyDescent="0.35">
      <c r="A484" t="s">
        <v>585</v>
      </c>
      <c r="B484" t="s">
        <v>1550</v>
      </c>
      <c r="C484" t="s">
        <v>26</v>
      </c>
      <c r="D484">
        <v>130300</v>
      </c>
      <c r="E484" t="s">
        <v>2</v>
      </c>
    </row>
    <row r="485" spans="1:5" x14ac:dyDescent="0.35">
      <c r="A485" t="s">
        <v>586</v>
      </c>
      <c r="B485" t="s">
        <v>1563</v>
      </c>
      <c r="C485" t="s">
        <v>39</v>
      </c>
      <c r="D485">
        <v>118500</v>
      </c>
      <c r="E485" t="s">
        <v>2</v>
      </c>
    </row>
    <row r="486" spans="1:5" x14ac:dyDescent="0.35">
      <c r="A486" t="s">
        <v>587</v>
      </c>
      <c r="B486" t="s">
        <v>1548</v>
      </c>
      <c r="C486" t="s">
        <v>24</v>
      </c>
      <c r="D486">
        <v>45700</v>
      </c>
      <c r="E486" t="s">
        <v>2</v>
      </c>
    </row>
    <row r="487" spans="1:5" x14ac:dyDescent="0.35">
      <c r="A487" t="s">
        <v>588</v>
      </c>
      <c r="B487" t="s">
        <v>1548</v>
      </c>
      <c r="C487" t="s">
        <v>24</v>
      </c>
      <c r="D487">
        <v>136400</v>
      </c>
      <c r="E487" t="s">
        <v>2</v>
      </c>
    </row>
    <row r="488" spans="1:5" x14ac:dyDescent="0.35">
      <c r="A488" t="s">
        <v>589</v>
      </c>
      <c r="B488" t="s">
        <v>1548</v>
      </c>
      <c r="C488" t="s">
        <v>24</v>
      </c>
      <c r="D488">
        <v>58900</v>
      </c>
      <c r="E488" t="s">
        <v>2</v>
      </c>
    </row>
    <row r="489" spans="1:5" x14ac:dyDescent="0.35">
      <c r="A489" t="s">
        <v>590</v>
      </c>
      <c r="B489" t="s">
        <v>1543</v>
      </c>
      <c r="C489" t="s">
        <v>19</v>
      </c>
      <c r="D489">
        <v>60100</v>
      </c>
      <c r="E489" t="s">
        <v>2</v>
      </c>
    </row>
    <row r="490" spans="1:5" x14ac:dyDescent="0.35">
      <c r="A490" t="s">
        <v>591</v>
      </c>
      <c r="B490" t="s">
        <v>1543</v>
      </c>
      <c r="C490" t="s">
        <v>19</v>
      </c>
      <c r="D490">
        <v>52500</v>
      </c>
      <c r="E490" t="s">
        <v>2</v>
      </c>
    </row>
    <row r="491" spans="1:5" x14ac:dyDescent="0.35">
      <c r="A491" t="s">
        <v>592</v>
      </c>
      <c r="B491" t="s">
        <v>1543</v>
      </c>
      <c r="C491" t="s">
        <v>19</v>
      </c>
      <c r="D491">
        <v>92000</v>
      </c>
      <c r="E491" t="s">
        <v>2</v>
      </c>
    </row>
    <row r="492" spans="1:5" x14ac:dyDescent="0.35">
      <c r="A492" t="s">
        <v>593</v>
      </c>
      <c r="B492" t="s">
        <v>1543</v>
      </c>
      <c r="C492" t="s">
        <v>19</v>
      </c>
      <c r="D492">
        <v>54800</v>
      </c>
      <c r="E492" t="s">
        <v>2</v>
      </c>
    </row>
    <row r="493" spans="1:5" x14ac:dyDescent="0.35">
      <c r="A493" t="s">
        <v>594</v>
      </c>
      <c r="B493" t="s">
        <v>1540</v>
      </c>
      <c r="C493" t="s">
        <v>16</v>
      </c>
      <c r="D493">
        <v>41000</v>
      </c>
      <c r="E493" t="s">
        <v>2</v>
      </c>
    </row>
    <row r="494" spans="1:5" x14ac:dyDescent="0.35">
      <c r="A494" t="s">
        <v>595</v>
      </c>
      <c r="B494" t="s">
        <v>1587</v>
      </c>
      <c r="C494" t="s">
        <v>63</v>
      </c>
      <c r="D494">
        <v>66200</v>
      </c>
      <c r="E494" t="s">
        <v>2</v>
      </c>
    </row>
    <row r="495" spans="1:5" x14ac:dyDescent="0.35">
      <c r="A495" t="s">
        <v>596</v>
      </c>
      <c r="B495" t="s">
        <v>1553</v>
      </c>
      <c r="C495" t="s">
        <v>29</v>
      </c>
      <c r="D495">
        <v>47900</v>
      </c>
      <c r="E495" t="s">
        <v>2</v>
      </c>
    </row>
    <row r="496" spans="1:5" x14ac:dyDescent="0.35">
      <c r="A496" t="s">
        <v>597</v>
      </c>
      <c r="B496" t="s">
        <v>1551</v>
      </c>
      <c r="C496" t="s">
        <v>27</v>
      </c>
      <c r="D496">
        <v>0</v>
      </c>
      <c r="E496" t="s">
        <v>2</v>
      </c>
    </row>
    <row r="497" spans="1:5" x14ac:dyDescent="0.35">
      <c r="A497" t="s">
        <v>598</v>
      </c>
      <c r="B497" t="s">
        <v>1553</v>
      </c>
      <c r="C497" t="s">
        <v>29</v>
      </c>
      <c r="D497">
        <v>52600</v>
      </c>
      <c r="E497" t="s">
        <v>2</v>
      </c>
    </row>
    <row r="498" spans="1:5" x14ac:dyDescent="0.35">
      <c r="A498" t="s">
        <v>599</v>
      </c>
      <c r="B498" t="s">
        <v>1558</v>
      </c>
      <c r="C498" t="s">
        <v>34</v>
      </c>
      <c r="D498">
        <v>53200</v>
      </c>
      <c r="E498" t="s">
        <v>2</v>
      </c>
    </row>
    <row r="499" spans="1:5" x14ac:dyDescent="0.35">
      <c r="A499" t="s">
        <v>600</v>
      </c>
      <c r="B499" t="s">
        <v>1541</v>
      </c>
      <c r="C499" t="s">
        <v>17</v>
      </c>
      <c r="D499">
        <v>59100</v>
      </c>
      <c r="E499" t="s">
        <v>2</v>
      </c>
    </row>
    <row r="500" spans="1:5" x14ac:dyDescent="0.35">
      <c r="A500" t="s">
        <v>601</v>
      </c>
      <c r="B500" t="s">
        <v>1553</v>
      </c>
      <c r="C500" t="s">
        <v>29</v>
      </c>
      <c r="D500">
        <v>142000</v>
      </c>
      <c r="E500" t="s">
        <v>2</v>
      </c>
    </row>
    <row r="501" spans="1:5" x14ac:dyDescent="0.35">
      <c r="A501" t="s">
        <v>602</v>
      </c>
      <c r="B501" t="s">
        <v>1553</v>
      </c>
      <c r="C501" t="s">
        <v>29</v>
      </c>
      <c r="D501">
        <v>173100</v>
      </c>
      <c r="E501" t="s">
        <v>2</v>
      </c>
    </row>
    <row r="502" spans="1:5" x14ac:dyDescent="0.35">
      <c r="A502" t="s">
        <v>603</v>
      </c>
      <c r="B502" t="s">
        <v>1548</v>
      </c>
      <c r="C502" t="s">
        <v>24</v>
      </c>
      <c r="D502">
        <v>67100</v>
      </c>
      <c r="E502" t="s">
        <v>2</v>
      </c>
    </row>
    <row r="503" spans="1:5" x14ac:dyDescent="0.35">
      <c r="A503" t="s">
        <v>604</v>
      </c>
      <c r="B503" t="s">
        <v>1548</v>
      </c>
      <c r="C503" t="s">
        <v>24</v>
      </c>
      <c r="D503">
        <v>52900</v>
      </c>
      <c r="E503" t="s">
        <v>2</v>
      </c>
    </row>
    <row r="504" spans="1:5" x14ac:dyDescent="0.35">
      <c r="A504" t="s">
        <v>605</v>
      </c>
      <c r="B504" t="s">
        <v>1539</v>
      </c>
      <c r="C504" t="s">
        <v>15</v>
      </c>
      <c r="D504">
        <v>56800</v>
      </c>
      <c r="E504" t="s">
        <v>2</v>
      </c>
    </row>
    <row r="505" spans="1:5" x14ac:dyDescent="0.35">
      <c r="A505" t="s">
        <v>606</v>
      </c>
      <c r="B505" t="s">
        <v>1543</v>
      </c>
      <c r="C505" t="s">
        <v>19</v>
      </c>
      <c r="D505">
        <v>50000</v>
      </c>
      <c r="E505" t="s">
        <v>2</v>
      </c>
    </row>
    <row r="506" spans="1:5" x14ac:dyDescent="0.35">
      <c r="A506" t="s">
        <v>607</v>
      </c>
      <c r="B506" t="s">
        <v>1543</v>
      </c>
      <c r="C506" t="s">
        <v>19</v>
      </c>
      <c r="D506">
        <v>47000</v>
      </c>
      <c r="E506" t="s">
        <v>2</v>
      </c>
    </row>
    <row r="507" spans="1:5" x14ac:dyDescent="0.35">
      <c r="A507" t="s">
        <v>608</v>
      </c>
      <c r="B507" t="s">
        <v>1543</v>
      </c>
      <c r="C507" t="s">
        <v>19</v>
      </c>
      <c r="D507">
        <v>135400</v>
      </c>
      <c r="E507" t="s">
        <v>2</v>
      </c>
    </row>
    <row r="508" spans="1:5" x14ac:dyDescent="0.35">
      <c r="A508" t="s">
        <v>609</v>
      </c>
      <c r="B508" t="s">
        <v>1592</v>
      </c>
      <c r="C508" t="s">
        <v>68</v>
      </c>
      <c r="D508">
        <v>74900</v>
      </c>
      <c r="E508" t="s">
        <v>2</v>
      </c>
    </row>
    <row r="509" spans="1:5" x14ac:dyDescent="0.35">
      <c r="A509" t="s">
        <v>610</v>
      </c>
      <c r="B509" t="s">
        <v>1551</v>
      </c>
      <c r="C509" t="s">
        <v>27</v>
      </c>
      <c r="D509">
        <v>229200</v>
      </c>
      <c r="E509" t="s">
        <v>2</v>
      </c>
    </row>
    <row r="510" spans="1:5" x14ac:dyDescent="0.35">
      <c r="A510" t="s">
        <v>611</v>
      </c>
      <c r="B510" t="s">
        <v>1540</v>
      </c>
      <c r="C510" t="s">
        <v>16</v>
      </c>
      <c r="D510">
        <v>50100</v>
      </c>
      <c r="E510" t="s">
        <v>2</v>
      </c>
    </row>
    <row r="511" spans="1:5" x14ac:dyDescent="0.35">
      <c r="A511" t="s">
        <v>612</v>
      </c>
      <c r="B511" t="s">
        <v>1593</v>
      </c>
      <c r="C511" t="s">
        <v>69</v>
      </c>
      <c r="D511">
        <v>131900</v>
      </c>
      <c r="E511" t="s">
        <v>2</v>
      </c>
    </row>
    <row r="512" spans="1:5" x14ac:dyDescent="0.35">
      <c r="A512" t="s">
        <v>613</v>
      </c>
      <c r="B512" t="s">
        <v>1593</v>
      </c>
      <c r="C512" t="s">
        <v>69</v>
      </c>
      <c r="D512">
        <v>163600</v>
      </c>
      <c r="E512" t="s">
        <v>2</v>
      </c>
    </row>
    <row r="513" spans="1:5" x14ac:dyDescent="0.35">
      <c r="A513" t="s">
        <v>614</v>
      </c>
      <c r="B513" t="s">
        <v>1592</v>
      </c>
      <c r="C513" t="s">
        <v>68</v>
      </c>
      <c r="D513">
        <v>57800</v>
      </c>
      <c r="E513" t="s">
        <v>2</v>
      </c>
    </row>
    <row r="514" spans="1:5" x14ac:dyDescent="0.35">
      <c r="A514" t="s">
        <v>615</v>
      </c>
      <c r="B514" t="s">
        <v>1551</v>
      </c>
      <c r="C514" t="s">
        <v>27</v>
      </c>
      <c r="D514">
        <v>156400</v>
      </c>
      <c r="E514" t="s">
        <v>2</v>
      </c>
    </row>
    <row r="515" spans="1:5" x14ac:dyDescent="0.35">
      <c r="A515" t="s">
        <v>616</v>
      </c>
      <c r="B515" t="s">
        <v>1551</v>
      </c>
      <c r="C515" t="s">
        <v>27</v>
      </c>
      <c r="D515">
        <v>210800</v>
      </c>
      <c r="E515" t="s">
        <v>2</v>
      </c>
    </row>
    <row r="516" spans="1:5" x14ac:dyDescent="0.35">
      <c r="A516" t="s">
        <v>617</v>
      </c>
      <c r="B516" t="s">
        <v>1538</v>
      </c>
      <c r="C516" t="s">
        <v>14</v>
      </c>
      <c r="D516">
        <v>75400</v>
      </c>
      <c r="E516" t="s">
        <v>2</v>
      </c>
    </row>
    <row r="517" spans="1:5" x14ac:dyDescent="0.35">
      <c r="A517" t="s">
        <v>618</v>
      </c>
      <c r="B517" t="s">
        <v>1551</v>
      </c>
      <c r="C517" t="s">
        <v>27</v>
      </c>
      <c r="D517">
        <v>68100</v>
      </c>
      <c r="E517" t="s">
        <v>2</v>
      </c>
    </row>
    <row r="518" spans="1:5" x14ac:dyDescent="0.35">
      <c r="A518" t="s">
        <v>619</v>
      </c>
      <c r="B518" t="s">
        <v>1562</v>
      </c>
      <c r="C518" t="s">
        <v>38</v>
      </c>
      <c r="D518">
        <v>44700</v>
      </c>
      <c r="E518" t="s">
        <v>2</v>
      </c>
    </row>
    <row r="519" spans="1:5" x14ac:dyDescent="0.35">
      <c r="A519" t="s">
        <v>620</v>
      </c>
      <c r="B519" t="s">
        <v>1562</v>
      </c>
      <c r="C519" t="s">
        <v>38</v>
      </c>
      <c r="D519">
        <v>48500</v>
      </c>
      <c r="E519" t="s">
        <v>2</v>
      </c>
    </row>
    <row r="520" spans="1:5" x14ac:dyDescent="0.35">
      <c r="A520" t="s">
        <v>621</v>
      </c>
      <c r="B520" t="s">
        <v>1594</v>
      </c>
      <c r="C520" t="s">
        <v>70</v>
      </c>
      <c r="D520">
        <v>136900</v>
      </c>
      <c r="E520" t="s">
        <v>2</v>
      </c>
    </row>
    <row r="521" spans="1:5" x14ac:dyDescent="0.35">
      <c r="A521" t="s">
        <v>622</v>
      </c>
      <c r="B521" t="s">
        <v>1542</v>
      </c>
      <c r="C521" t="s">
        <v>18</v>
      </c>
      <c r="D521">
        <v>58600</v>
      </c>
      <c r="E521" t="s">
        <v>2</v>
      </c>
    </row>
    <row r="522" spans="1:5" x14ac:dyDescent="0.35">
      <c r="A522" t="s">
        <v>623</v>
      </c>
      <c r="B522" t="s">
        <v>1558</v>
      </c>
      <c r="C522" t="s">
        <v>34</v>
      </c>
      <c r="D522">
        <v>32600</v>
      </c>
      <c r="E522" t="s">
        <v>2</v>
      </c>
    </row>
    <row r="523" spans="1:5" x14ac:dyDescent="0.35">
      <c r="A523" t="s">
        <v>624</v>
      </c>
      <c r="B523" t="s">
        <v>1558</v>
      </c>
      <c r="C523" t="s">
        <v>34</v>
      </c>
      <c r="D523">
        <v>50600</v>
      </c>
      <c r="E523" t="s">
        <v>2</v>
      </c>
    </row>
    <row r="524" spans="1:5" x14ac:dyDescent="0.35">
      <c r="A524" t="s">
        <v>625</v>
      </c>
      <c r="B524" t="s">
        <v>1542</v>
      </c>
      <c r="C524" t="s">
        <v>18</v>
      </c>
      <c r="D524">
        <v>86000</v>
      </c>
      <c r="E524" t="s">
        <v>2</v>
      </c>
    </row>
    <row r="525" spans="1:5" x14ac:dyDescent="0.35">
      <c r="A525" t="s">
        <v>626</v>
      </c>
      <c r="B525" t="s">
        <v>1542</v>
      </c>
      <c r="C525" t="s">
        <v>18</v>
      </c>
      <c r="D525">
        <v>150000</v>
      </c>
      <c r="E525" t="s">
        <v>2</v>
      </c>
    </row>
    <row r="526" spans="1:5" x14ac:dyDescent="0.35">
      <c r="A526" t="s">
        <v>627</v>
      </c>
      <c r="B526" t="s">
        <v>1542</v>
      </c>
      <c r="C526" t="s">
        <v>18</v>
      </c>
      <c r="D526">
        <v>56100</v>
      </c>
      <c r="E526" t="s">
        <v>3</v>
      </c>
    </row>
    <row r="527" spans="1:5" x14ac:dyDescent="0.35">
      <c r="A527" t="s">
        <v>628</v>
      </c>
      <c r="B527" t="s">
        <v>1542</v>
      </c>
      <c r="C527" t="s">
        <v>18</v>
      </c>
      <c r="D527">
        <v>46200</v>
      </c>
      <c r="E527" t="s">
        <v>3</v>
      </c>
    </row>
    <row r="528" spans="1:5" x14ac:dyDescent="0.35">
      <c r="A528" t="s">
        <v>629</v>
      </c>
      <c r="B528" t="s">
        <v>1538</v>
      </c>
      <c r="C528" t="s">
        <v>14</v>
      </c>
      <c r="D528">
        <v>111100</v>
      </c>
      <c r="E528" t="s">
        <v>3</v>
      </c>
    </row>
    <row r="529" spans="1:5" x14ac:dyDescent="0.35">
      <c r="A529" t="s">
        <v>630</v>
      </c>
      <c r="B529" t="s">
        <v>1538</v>
      </c>
      <c r="C529" t="s">
        <v>14</v>
      </c>
      <c r="D529">
        <v>104300</v>
      </c>
      <c r="E529" t="s">
        <v>3</v>
      </c>
    </row>
    <row r="530" spans="1:5" x14ac:dyDescent="0.35">
      <c r="A530" t="s">
        <v>631</v>
      </c>
      <c r="B530" t="s">
        <v>1538</v>
      </c>
      <c r="C530" t="s">
        <v>14</v>
      </c>
      <c r="D530">
        <v>117700</v>
      </c>
      <c r="E530" t="s">
        <v>3</v>
      </c>
    </row>
    <row r="531" spans="1:5" x14ac:dyDescent="0.35">
      <c r="A531" t="s">
        <v>632</v>
      </c>
      <c r="B531" t="s">
        <v>1538</v>
      </c>
      <c r="C531" t="s">
        <v>14</v>
      </c>
      <c r="D531">
        <v>49400</v>
      </c>
      <c r="E531" t="s">
        <v>3</v>
      </c>
    </row>
    <row r="532" spans="1:5" x14ac:dyDescent="0.35">
      <c r="A532" t="s">
        <v>633</v>
      </c>
      <c r="B532" t="s">
        <v>1551</v>
      </c>
      <c r="C532" t="s">
        <v>27</v>
      </c>
      <c r="D532">
        <v>72200</v>
      </c>
      <c r="E532" t="s">
        <v>3</v>
      </c>
    </row>
    <row r="533" spans="1:5" x14ac:dyDescent="0.35">
      <c r="A533" t="s">
        <v>634</v>
      </c>
      <c r="B533" t="s">
        <v>1551</v>
      </c>
      <c r="C533" t="s">
        <v>27</v>
      </c>
      <c r="D533">
        <v>57400</v>
      </c>
      <c r="E533" t="s">
        <v>3</v>
      </c>
    </row>
    <row r="534" spans="1:5" x14ac:dyDescent="0.35">
      <c r="A534" t="s">
        <v>635</v>
      </c>
      <c r="B534" t="s">
        <v>1550</v>
      </c>
      <c r="C534" t="s">
        <v>26</v>
      </c>
      <c r="D534">
        <v>68500</v>
      </c>
      <c r="E534" t="s">
        <v>3</v>
      </c>
    </row>
    <row r="535" spans="1:5" x14ac:dyDescent="0.35">
      <c r="A535" t="s">
        <v>636</v>
      </c>
      <c r="B535" t="s">
        <v>1592</v>
      </c>
      <c r="C535" t="s">
        <v>68</v>
      </c>
      <c r="D535">
        <v>0</v>
      </c>
      <c r="E535" t="s">
        <v>3</v>
      </c>
    </row>
    <row r="536" spans="1:5" x14ac:dyDescent="0.35">
      <c r="A536" t="s">
        <v>637</v>
      </c>
      <c r="B536" t="s">
        <v>1558</v>
      </c>
      <c r="C536" t="s">
        <v>34</v>
      </c>
      <c r="D536">
        <v>76400</v>
      </c>
      <c r="E536" t="s">
        <v>3</v>
      </c>
    </row>
    <row r="537" spans="1:5" x14ac:dyDescent="0.35">
      <c r="A537" t="s">
        <v>638</v>
      </c>
      <c r="B537" t="s">
        <v>1550</v>
      </c>
      <c r="C537" t="s">
        <v>26</v>
      </c>
      <c r="D537">
        <v>65600</v>
      </c>
      <c r="E537" t="s">
        <v>3</v>
      </c>
    </row>
    <row r="538" spans="1:5" x14ac:dyDescent="0.35">
      <c r="A538" t="s">
        <v>639</v>
      </c>
      <c r="B538" t="s">
        <v>1580</v>
      </c>
      <c r="C538" t="s">
        <v>56</v>
      </c>
      <c r="D538">
        <v>345000</v>
      </c>
      <c r="E538" t="s">
        <v>3</v>
      </c>
    </row>
    <row r="539" spans="1:5" x14ac:dyDescent="0.35">
      <c r="A539" t="s">
        <v>640</v>
      </c>
      <c r="B539" t="s">
        <v>1545</v>
      </c>
      <c r="C539" t="s">
        <v>21</v>
      </c>
      <c r="D539">
        <v>92800</v>
      </c>
      <c r="E539" t="s">
        <v>3</v>
      </c>
    </row>
    <row r="540" spans="1:5" x14ac:dyDescent="0.35">
      <c r="A540" t="s">
        <v>641</v>
      </c>
      <c r="B540" t="s">
        <v>1558</v>
      </c>
      <c r="C540" t="s">
        <v>34</v>
      </c>
      <c r="D540">
        <v>42400</v>
      </c>
      <c r="E540" t="s">
        <v>3</v>
      </c>
    </row>
    <row r="541" spans="1:5" x14ac:dyDescent="0.35">
      <c r="A541" t="s">
        <v>642</v>
      </c>
      <c r="B541" t="s">
        <v>1558</v>
      </c>
      <c r="C541" t="s">
        <v>34</v>
      </c>
      <c r="D541">
        <v>52900</v>
      </c>
      <c r="E541" t="s">
        <v>3</v>
      </c>
    </row>
    <row r="542" spans="1:5" x14ac:dyDescent="0.35">
      <c r="A542" t="s">
        <v>643</v>
      </c>
      <c r="B542" t="s">
        <v>1538</v>
      </c>
      <c r="C542" t="s">
        <v>14</v>
      </c>
      <c r="D542">
        <v>43100</v>
      </c>
      <c r="E542" t="s">
        <v>3</v>
      </c>
    </row>
    <row r="543" spans="1:5" x14ac:dyDescent="0.35">
      <c r="A543" t="s">
        <v>644</v>
      </c>
      <c r="B543" t="s">
        <v>1538</v>
      </c>
      <c r="C543" t="s">
        <v>14</v>
      </c>
      <c r="D543">
        <v>252200</v>
      </c>
      <c r="E543" t="s">
        <v>3</v>
      </c>
    </row>
    <row r="544" spans="1:5" x14ac:dyDescent="0.35">
      <c r="A544" t="s">
        <v>645</v>
      </c>
      <c r="B544" t="s">
        <v>1538</v>
      </c>
      <c r="C544" t="s">
        <v>14</v>
      </c>
      <c r="D544">
        <v>43300</v>
      </c>
      <c r="E544" t="s">
        <v>3</v>
      </c>
    </row>
    <row r="545" spans="1:5" x14ac:dyDescent="0.35">
      <c r="A545" t="s">
        <v>646</v>
      </c>
      <c r="B545" t="s">
        <v>1538</v>
      </c>
      <c r="C545" t="s">
        <v>14</v>
      </c>
      <c r="D545">
        <v>52900</v>
      </c>
      <c r="E545" t="s">
        <v>3</v>
      </c>
    </row>
    <row r="546" spans="1:5" x14ac:dyDescent="0.35">
      <c r="A546" t="s">
        <v>647</v>
      </c>
      <c r="B546" t="s">
        <v>1540</v>
      </c>
      <c r="C546" t="s">
        <v>16</v>
      </c>
      <c r="D546">
        <v>54500</v>
      </c>
      <c r="E546" t="s">
        <v>3</v>
      </c>
    </row>
    <row r="547" spans="1:5" x14ac:dyDescent="0.35">
      <c r="A547" t="s">
        <v>648</v>
      </c>
      <c r="B547" t="s">
        <v>1542</v>
      </c>
      <c r="C547" t="s">
        <v>18</v>
      </c>
      <c r="D547">
        <v>153200</v>
      </c>
      <c r="E547" t="s">
        <v>3</v>
      </c>
    </row>
    <row r="548" spans="1:5" x14ac:dyDescent="0.35">
      <c r="A548" t="s">
        <v>649</v>
      </c>
      <c r="B548" t="s">
        <v>1538</v>
      </c>
      <c r="C548" t="s">
        <v>14</v>
      </c>
      <c r="D548">
        <v>74800</v>
      </c>
      <c r="E548" t="s">
        <v>3</v>
      </c>
    </row>
    <row r="549" spans="1:5" x14ac:dyDescent="0.35">
      <c r="A549" t="s">
        <v>650</v>
      </c>
      <c r="B549" t="s">
        <v>1542</v>
      </c>
      <c r="C549" t="s">
        <v>18</v>
      </c>
      <c r="D549">
        <v>165900</v>
      </c>
      <c r="E549" t="s">
        <v>3</v>
      </c>
    </row>
    <row r="550" spans="1:5" x14ac:dyDescent="0.35">
      <c r="A550" t="s">
        <v>651</v>
      </c>
      <c r="B550" t="s">
        <v>1550</v>
      </c>
      <c r="C550" t="s">
        <v>26</v>
      </c>
      <c r="D550">
        <v>62600</v>
      </c>
      <c r="E550" t="s">
        <v>3</v>
      </c>
    </row>
    <row r="551" spans="1:5" x14ac:dyDescent="0.35">
      <c r="A551" t="s">
        <v>652</v>
      </c>
      <c r="B551" t="s">
        <v>1595</v>
      </c>
      <c r="C551" t="s">
        <v>71</v>
      </c>
      <c r="D551">
        <v>43000</v>
      </c>
      <c r="E551" t="s">
        <v>3</v>
      </c>
    </row>
    <row r="552" spans="1:5" x14ac:dyDescent="0.35">
      <c r="A552" t="s">
        <v>653</v>
      </c>
      <c r="B552" t="s">
        <v>1595</v>
      </c>
      <c r="C552" t="s">
        <v>71</v>
      </c>
      <c r="D552">
        <v>51800</v>
      </c>
      <c r="E552" t="s">
        <v>3</v>
      </c>
    </row>
    <row r="553" spans="1:5" x14ac:dyDescent="0.35">
      <c r="A553" t="s">
        <v>654</v>
      </c>
      <c r="B553" t="s">
        <v>1542</v>
      </c>
      <c r="C553" t="s">
        <v>18</v>
      </c>
      <c r="D553">
        <v>41000</v>
      </c>
      <c r="E553" t="s">
        <v>3</v>
      </c>
    </row>
    <row r="554" spans="1:5" x14ac:dyDescent="0.35">
      <c r="A554" t="s">
        <v>655</v>
      </c>
      <c r="B554" t="s">
        <v>1558</v>
      </c>
      <c r="C554" t="s">
        <v>34</v>
      </c>
      <c r="D554">
        <v>53500</v>
      </c>
      <c r="E554" t="s">
        <v>3</v>
      </c>
    </row>
    <row r="555" spans="1:5" x14ac:dyDescent="0.35">
      <c r="A555" t="s">
        <v>656</v>
      </c>
      <c r="B555" t="s">
        <v>1545</v>
      </c>
      <c r="C555" t="s">
        <v>21</v>
      </c>
      <c r="D555">
        <v>57600</v>
      </c>
      <c r="E555" t="s">
        <v>3</v>
      </c>
    </row>
    <row r="556" spans="1:5" x14ac:dyDescent="0.35">
      <c r="A556" t="s">
        <v>657</v>
      </c>
      <c r="B556" t="s">
        <v>1542</v>
      </c>
      <c r="C556" t="s">
        <v>18</v>
      </c>
      <c r="D556">
        <v>41200</v>
      </c>
      <c r="E556" t="s">
        <v>3</v>
      </c>
    </row>
    <row r="557" spans="1:5" x14ac:dyDescent="0.35">
      <c r="A557" t="s">
        <v>658</v>
      </c>
      <c r="B557" t="s">
        <v>1542</v>
      </c>
      <c r="C557" t="s">
        <v>18</v>
      </c>
      <c r="D557">
        <v>118600</v>
      </c>
      <c r="E557" t="s">
        <v>3</v>
      </c>
    </row>
    <row r="558" spans="1:5" x14ac:dyDescent="0.35">
      <c r="A558" t="s">
        <v>659</v>
      </c>
      <c r="B558" t="s">
        <v>1542</v>
      </c>
      <c r="C558" t="s">
        <v>18</v>
      </c>
      <c r="D558">
        <v>123900</v>
      </c>
      <c r="E558" t="s">
        <v>3</v>
      </c>
    </row>
    <row r="559" spans="1:5" x14ac:dyDescent="0.35">
      <c r="A559" t="s">
        <v>660</v>
      </c>
      <c r="B559" t="s">
        <v>1540</v>
      </c>
      <c r="C559" t="s">
        <v>16</v>
      </c>
      <c r="D559">
        <v>64400</v>
      </c>
      <c r="E559" t="s">
        <v>3</v>
      </c>
    </row>
    <row r="560" spans="1:5" x14ac:dyDescent="0.35">
      <c r="A560" t="s">
        <v>661</v>
      </c>
      <c r="B560" t="s">
        <v>1562</v>
      </c>
      <c r="C560" t="s">
        <v>38</v>
      </c>
      <c r="D560">
        <v>66600</v>
      </c>
      <c r="E560" t="s">
        <v>3</v>
      </c>
    </row>
    <row r="561" spans="1:5" x14ac:dyDescent="0.35">
      <c r="A561" t="s">
        <v>662</v>
      </c>
      <c r="B561" t="s">
        <v>1562</v>
      </c>
      <c r="C561" t="s">
        <v>38</v>
      </c>
      <c r="D561">
        <v>48000</v>
      </c>
      <c r="E561" t="s">
        <v>3</v>
      </c>
    </row>
    <row r="562" spans="1:5" x14ac:dyDescent="0.35">
      <c r="A562" t="s">
        <v>663</v>
      </c>
      <c r="B562" t="s">
        <v>1542</v>
      </c>
      <c r="C562" t="s">
        <v>18</v>
      </c>
      <c r="D562">
        <v>66200</v>
      </c>
      <c r="E562" t="s">
        <v>3</v>
      </c>
    </row>
    <row r="563" spans="1:5" x14ac:dyDescent="0.35">
      <c r="A563" t="s">
        <v>664</v>
      </c>
      <c r="B563" t="s">
        <v>1553</v>
      </c>
      <c r="C563" t="s">
        <v>29</v>
      </c>
      <c r="D563">
        <v>142100</v>
      </c>
      <c r="E563" t="s">
        <v>3</v>
      </c>
    </row>
    <row r="564" spans="1:5" x14ac:dyDescent="0.35">
      <c r="A564" t="s">
        <v>665</v>
      </c>
      <c r="B564" t="s">
        <v>1544</v>
      </c>
      <c r="C564" t="s">
        <v>20</v>
      </c>
      <c r="D564">
        <v>315800</v>
      </c>
      <c r="E564" t="s">
        <v>3</v>
      </c>
    </row>
    <row r="565" spans="1:5" x14ac:dyDescent="0.35">
      <c r="A565" t="s">
        <v>666</v>
      </c>
      <c r="B565" t="s">
        <v>1558</v>
      </c>
      <c r="C565" t="s">
        <v>34</v>
      </c>
      <c r="D565">
        <v>264300</v>
      </c>
      <c r="E565" t="s">
        <v>3</v>
      </c>
    </row>
    <row r="566" spans="1:5" x14ac:dyDescent="0.35">
      <c r="A566" t="s">
        <v>667</v>
      </c>
      <c r="B566" t="s">
        <v>1558</v>
      </c>
      <c r="C566" t="s">
        <v>34</v>
      </c>
      <c r="D566">
        <v>73500</v>
      </c>
      <c r="E566" t="s">
        <v>3</v>
      </c>
    </row>
    <row r="567" spans="1:5" x14ac:dyDescent="0.35">
      <c r="A567" t="s">
        <v>668</v>
      </c>
      <c r="B567" t="s">
        <v>1538</v>
      </c>
      <c r="C567" t="s">
        <v>14</v>
      </c>
      <c r="D567">
        <v>328200</v>
      </c>
      <c r="E567" t="s">
        <v>3</v>
      </c>
    </row>
    <row r="568" spans="1:5" x14ac:dyDescent="0.35">
      <c r="A568" t="s">
        <v>669</v>
      </c>
      <c r="B568" t="s">
        <v>1558</v>
      </c>
      <c r="C568" t="s">
        <v>34</v>
      </c>
      <c r="D568">
        <v>40800</v>
      </c>
      <c r="E568" t="s">
        <v>3</v>
      </c>
    </row>
    <row r="569" spans="1:5" x14ac:dyDescent="0.35">
      <c r="A569" t="s">
        <v>670</v>
      </c>
      <c r="B569" t="s">
        <v>1558</v>
      </c>
      <c r="C569" t="s">
        <v>34</v>
      </c>
      <c r="D569">
        <v>57800</v>
      </c>
      <c r="E569" t="s">
        <v>3</v>
      </c>
    </row>
    <row r="570" spans="1:5" x14ac:dyDescent="0.35">
      <c r="A570" t="s">
        <v>671</v>
      </c>
      <c r="B570" t="s">
        <v>1545</v>
      </c>
      <c r="C570" t="s">
        <v>21</v>
      </c>
      <c r="D570">
        <v>51300</v>
      </c>
      <c r="E570" t="s">
        <v>3</v>
      </c>
    </row>
    <row r="571" spans="1:5" x14ac:dyDescent="0.35">
      <c r="A571" t="s">
        <v>672</v>
      </c>
      <c r="B571" t="s">
        <v>1542</v>
      </c>
      <c r="C571" t="s">
        <v>18</v>
      </c>
      <c r="D571">
        <v>54300</v>
      </c>
      <c r="E571" t="s">
        <v>3</v>
      </c>
    </row>
    <row r="572" spans="1:5" x14ac:dyDescent="0.35">
      <c r="A572" t="s">
        <v>673</v>
      </c>
      <c r="B572" t="s">
        <v>1542</v>
      </c>
      <c r="C572" t="s">
        <v>18</v>
      </c>
      <c r="D572">
        <v>100300</v>
      </c>
      <c r="E572" t="s">
        <v>3</v>
      </c>
    </row>
    <row r="573" spans="1:5" x14ac:dyDescent="0.35">
      <c r="A573" t="s">
        <v>674</v>
      </c>
      <c r="B573" t="s">
        <v>1538</v>
      </c>
      <c r="C573" t="s">
        <v>14</v>
      </c>
      <c r="D573">
        <v>62700</v>
      </c>
      <c r="E573" t="s">
        <v>3</v>
      </c>
    </row>
    <row r="574" spans="1:5" x14ac:dyDescent="0.35">
      <c r="A574" t="s">
        <v>675</v>
      </c>
      <c r="B574" t="s">
        <v>1538</v>
      </c>
      <c r="C574" t="s">
        <v>14</v>
      </c>
      <c r="D574">
        <v>60600</v>
      </c>
      <c r="E574" t="s">
        <v>3</v>
      </c>
    </row>
    <row r="575" spans="1:5" x14ac:dyDescent="0.35">
      <c r="A575" t="s">
        <v>676</v>
      </c>
      <c r="B575" t="s">
        <v>1540</v>
      </c>
      <c r="C575" t="s">
        <v>16</v>
      </c>
      <c r="D575">
        <v>35500</v>
      </c>
      <c r="E575" t="s">
        <v>3</v>
      </c>
    </row>
    <row r="576" spans="1:5" x14ac:dyDescent="0.35">
      <c r="A576" t="s">
        <v>677</v>
      </c>
      <c r="B576" t="s">
        <v>1540</v>
      </c>
      <c r="C576" t="s">
        <v>16</v>
      </c>
      <c r="D576">
        <v>41200</v>
      </c>
      <c r="E576" t="s">
        <v>3</v>
      </c>
    </row>
    <row r="577" spans="1:5" x14ac:dyDescent="0.35">
      <c r="A577" t="s">
        <v>678</v>
      </c>
      <c r="B577" t="s">
        <v>1538</v>
      </c>
      <c r="C577" t="s">
        <v>14</v>
      </c>
      <c r="D577">
        <v>29100</v>
      </c>
      <c r="E577" t="s">
        <v>3</v>
      </c>
    </row>
    <row r="578" spans="1:5" x14ac:dyDescent="0.35">
      <c r="A578" t="s">
        <v>679</v>
      </c>
      <c r="B578" t="s">
        <v>1538</v>
      </c>
      <c r="C578" t="s">
        <v>14</v>
      </c>
      <c r="D578">
        <v>196600</v>
      </c>
      <c r="E578" t="s">
        <v>3</v>
      </c>
    </row>
    <row r="579" spans="1:5" x14ac:dyDescent="0.35">
      <c r="A579" t="s">
        <v>680</v>
      </c>
      <c r="B579" t="s">
        <v>1542</v>
      </c>
      <c r="C579" t="s">
        <v>18</v>
      </c>
      <c r="D579">
        <v>47900</v>
      </c>
      <c r="E579" t="s">
        <v>3</v>
      </c>
    </row>
    <row r="580" spans="1:5" x14ac:dyDescent="0.35">
      <c r="A580" t="s">
        <v>681</v>
      </c>
      <c r="B580" t="s">
        <v>1542</v>
      </c>
      <c r="C580" t="s">
        <v>18</v>
      </c>
      <c r="D580">
        <v>44700</v>
      </c>
      <c r="E580" t="s">
        <v>3</v>
      </c>
    </row>
    <row r="581" spans="1:5" x14ac:dyDescent="0.35">
      <c r="A581" t="s">
        <v>682</v>
      </c>
      <c r="B581" t="s">
        <v>1557</v>
      </c>
      <c r="C581" t="s">
        <v>33</v>
      </c>
      <c r="D581">
        <v>221700</v>
      </c>
      <c r="E581" t="s">
        <v>3</v>
      </c>
    </row>
    <row r="582" spans="1:5" x14ac:dyDescent="0.35">
      <c r="A582" t="s">
        <v>683</v>
      </c>
      <c r="B582" t="s">
        <v>1538</v>
      </c>
      <c r="C582" t="s">
        <v>14</v>
      </c>
      <c r="D582">
        <v>248700</v>
      </c>
      <c r="E582" t="s">
        <v>3</v>
      </c>
    </row>
    <row r="583" spans="1:5" x14ac:dyDescent="0.35">
      <c r="A583" t="s">
        <v>684</v>
      </c>
      <c r="B583" t="s">
        <v>1534</v>
      </c>
      <c r="C583" t="s">
        <v>10</v>
      </c>
      <c r="D583">
        <v>40800</v>
      </c>
      <c r="E583" t="s">
        <v>3</v>
      </c>
    </row>
    <row r="584" spans="1:5" x14ac:dyDescent="0.35">
      <c r="A584" t="s">
        <v>685</v>
      </c>
      <c r="B584" t="s">
        <v>1543</v>
      </c>
      <c r="C584" t="s">
        <v>19</v>
      </c>
      <c r="D584">
        <v>182300</v>
      </c>
      <c r="E584" t="s">
        <v>3</v>
      </c>
    </row>
    <row r="585" spans="1:5" x14ac:dyDescent="0.35">
      <c r="A585" t="s">
        <v>686</v>
      </c>
      <c r="B585" t="s">
        <v>1540</v>
      </c>
      <c r="C585" t="s">
        <v>16</v>
      </c>
      <c r="D585">
        <v>58300</v>
      </c>
      <c r="E585" t="s">
        <v>3</v>
      </c>
    </row>
    <row r="586" spans="1:5" x14ac:dyDescent="0.35">
      <c r="A586" t="s">
        <v>687</v>
      </c>
      <c r="B586" t="s">
        <v>1540</v>
      </c>
      <c r="C586" t="s">
        <v>16</v>
      </c>
      <c r="D586">
        <v>44600</v>
      </c>
      <c r="E586" t="s">
        <v>3</v>
      </c>
    </row>
    <row r="587" spans="1:5" x14ac:dyDescent="0.35">
      <c r="A587" t="s">
        <v>688</v>
      </c>
      <c r="B587" t="s">
        <v>1540</v>
      </c>
      <c r="C587" t="s">
        <v>16</v>
      </c>
      <c r="D587">
        <v>48600</v>
      </c>
      <c r="E587" t="s">
        <v>3</v>
      </c>
    </row>
    <row r="588" spans="1:5" x14ac:dyDescent="0.35">
      <c r="A588" t="s">
        <v>689</v>
      </c>
      <c r="B588" t="s">
        <v>1544</v>
      </c>
      <c r="C588" t="s">
        <v>20</v>
      </c>
      <c r="D588">
        <v>130500</v>
      </c>
      <c r="E588" t="s">
        <v>3</v>
      </c>
    </row>
    <row r="589" spans="1:5" x14ac:dyDescent="0.35">
      <c r="A589" t="s">
        <v>690</v>
      </c>
      <c r="B589" t="s">
        <v>1540</v>
      </c>
      <c r="C589" t="s">
        <v>16</v>
      </c>
      <c r="D589">
        <v>255500</v>
      </c>
      <c r="E589" t="s">
        <v>3</v>
      </c>
    </row>
    <row r="590" spans="1:5" x14ac:dyDescent="0.35">
      <c r="A590" t="s">
        <v>691</v>
      </c>
      <c r="B590" t="s">
        <v>1544</v>
      </c>
      <c r="C590" t="s">
        <v>20</v>
      </c>
      <c r="D590">
        <v>195800</v>
      </c>
      <c r="E590" t="s">
        <v>3</v>
      </c>
    </row>
    <row r="591" spans="1:5" x14ac:dyDescent="0.35">
      <c r="A591" t="s">
        <v>692</v>
      </c>
      <c r="B591" t="s">
        <v>1542</v>
      </c>
      <c r="C591" t="s">
        <v>18</v>
      </c>
      <c r="D591">
        <v>48700</v>
      </c>
      <c r="E591" t="s">
        <v>3</v>
      </c>
    </row>
    <row r="592" spans="1:5" x14ac:dyDescent="0.35">
      <c r="A592" t="s">
        <v>693</v>
      </c>
      <c r="B592" t="s">
        <v>1539</v>
      </c>
      <c r="C592" t="s">
        <v>15</v>
      </c>
      <c r="D592">
        <v>43000</v>
      </c>
      <c r="E592" t="s">
        <v>3</v>
      </c>
    </row>
    <row r="593" spans="1:5" x14ac:dyDescent="0.35">
      <c r="A593" t="s">
        <v>694</v>
      </c>
      <c r="B593" t="s">
        <v>1539</v>
      </c>
      <c r="C593" t="s">
        <v>15</v>
      </c>
      <c r="D593">
        <v>61700</v>
      </c>
      <c r="E593" t="s">
        <v>3</v>
      </c>
    </row>
    <row r="594" spans="1:5" x14ac:dyDescent="0.35">
      <c r="A594" t="s">
        <v>695</v>
      </c>
      <c r="B594" t="s">
        <v>1541</v>
      </c>
      <c r="C594" t="s">
        <v>17</v>
      </c>
      <c r="D594">
        <v>33000</v>
      </c>
      <c r="E594" t="s">
        <v>3</v>
      </c>
    </row>
    <row r="595" spans="1:5" x14ac:dyDescent="0.35">
      <c r="A595" t="s">
        <v>696</v>
      </c>
      <c r="B595" t="s">
        <v>1539</v>
      </c>
      <c r="C595" t="s">
        <v>15</v>
      </c>
      <c r="D595">
        <v>43400</v>
      </c>
      <c r="E595" t="s">
        <v>3</v>
      </c>
    </row>
    <row r="596" spans="1:5" x14ac:dyDescent="0.35">
      <c r="A596" t="s">
        <v>697</v>
      </c>
      <c r="B596" t="s">
        <v>1553</v>
      </c>
      <c r="C596" t="s">
        <v>29</v>
      </c>
      <c r="D596">
        <v>0</v>
      </c>
      <c r="E596" t="s">
        <v>3</v>
      </c>
    </row>
    <row r="597" spans="1:5" x14ac:dyDescent="0.35">
      <c r="A597" t="s">
        <v>698</v>
      </c>
      <c r="B597" t="s">
        <v>1561</v>
      </c>
      <c r="C597" t="s">
        <v>37</v>
      </c>
      <c r="D597">
        <v>47600</v>
      </c>
      <c r="E597" t="s">
        <v>3</v>
      </c>
    </row>
    <row r="598" spans="1:5" x14ac:dyDescent="0.35">
      <c r="A598" t="s">
        <v>699</v>
      </c>
      <c r="B598" t="s">
        <v>1543</v>
      </c>
      <c r="C598" t="s">
        <v>19</v>
      </c>
      <c r="D598">
        <v>62000</v>
      </c>
      <c r="E598" t="s">
        <v>3</v>
      </c>
    </row>
    <row r="599" spans="1:5" x14ac:dyDescent="0.35">
      <c r="A599" t="s">
        <v>700</v>
      </c>
      <c r="B599" t="s">
        <v>1534</v>
      </c>
      <c r="C599" t="s">
        <v>10</v>
      </c>
      <c r="D599">
        <v>62100</v>
      </c>
      <c r="E599" t="s">
        <v>3</v>
      </c>
    </row>
    <row r="600" spans="1:5" x14ac:dyDescent="0.35">
      <c r="A600" t="s">
        <v>701</v>
      </c>
      <c r="B600" t="s">
        <v>1596</v>
      </c>
      <c r="C600" t="s">
        <v>72</v>
      </c>
      <c r="D600">
        <v>100500</v>
      </c>
      <c r="E600" t="s">
        <v>3</v>
      </c>
    </row>
    <row r="601" spans="1:5" x14ac:dyDescent="0.35">
      <c r="A601" t="s">
        <v>702</v>
      </c>
      <c r="B601" t="s">
        <v>1538</v>
      </c>
      <c r="C601" t="s">
        <v>14</v>
      </c>
      <c r="D601">
        <v>53300</v>
      </c>
      <c r="E601" t="s">
        <v>3</v>
      </c>
    </row>
    <row r="602" spans="1:5" x14ac:dyDescent="0.35">
      <c r="A602" t="s">
        <v>703</v>
      </c>
      <c r="B602" t="s">
        <v>1542</v>
      </c>
      <c r="C602" t="s">
        <v>18</v>
      </c>
      <c r="D602">
        <v>49700</v>
      </c>
      <c r="E602" t="s">
        <v>3</v>
      </c>
    </row>
    <row r="603" spans="1:5" x14ac:dyDescent="0.35">
      <c r="A603" t="s">
        <v>704</v>
      </c>
      <c r="B603" t="s">
        <v>1556</v>
      </c>
      <c r="C603" t="s">
        <v>32</v>
      </c>
      <c r="D603">
        <v>56300</v>
      </c>
      <c r="E603" t="s">
        <v>3</v>
      </c>
    </row>
    <row r="604" spans="1:5" x14ac:dyDescent="0.35">
      <c r="A604" t="s">
        <v>705</v>
      </c>
      <c r="B604" t="s">
        <v>1538</v>
      </c>
      <c r="C604" t="s">
        <v>14</v>
      </c>
      <c r="D604">
        <v>271300</v>
      </c>
      <c r="E604" t="s">
        <v>3</v>
      </c>
    </row>
    <row r="605" spans="1:5" x14ac:dyDescent="0.35">
      <c r="A605" t="s">
        <v>706</v>
      </c>
      <c r="B605" t="s">
        <v>1538</v>
      </c>
      <c r="C605" t="s">
        <v>14</v>
      </c>
      <c r="D605">
        <v>62400</v>
      </c>
      <c r="E605" t="s">
        <v>3</v>
      </c>
    </row>
    <row r="606" spans="1:5" x14ac:dyDescent="0.35">
      <c r="A606" t="s">
        <v>707</v>
      </c>
      <c r="B606" t="s">
        <v>1581</v>
      </c>
      <c r="C606" t="s">
        <v>57</v>
      </c>
      <c r="D606">
        <v>41600</v>
      </c>
      <c r="E606" t="s">
        <v>3</v>
      </c>
    </row>
    <row r="607" spans="1:5" x14ac:dyDescent="0.35">
      <c r="A607" t="s">
        <v>708</v>
      </c>
      <c r="B607" t="s">
        <v>1542</v>
      </c>
      <c r="C607" t="s">
        <v>18</v>
      </c>
      <c r="D607">
        <v>52400</v>
      </c>
      <c r="E607" t="s">
        <v>3</v>
      </c>
    </row>
    <row r="608" spans="1:5" x14ac:dyDescent="0.35">
      <c r="A608" t="s">
        <v>709</v>
      </c>
      <c r="B608" t="s">
        <v>1545</v>
      </c>
      <c r="C608" t="s">
        <v>21</v>
      </c>
      <c r="D608">
        <v>58300</v>
      </c>
      <c r="E608" t="s">
        <v>3</v>
      </c>
    </row>
    <row r="609" spans="1:5" x14ac:dyDescent="0.35">
      <c r="A609" t="s">
        <v>710</v>
      </c>
      <c r="B609" t="s">
        <v>1545</v>
      </c>
      <c r="C609" t="s">
        <v>21</v>
      </c>
      <c r="D609">
        <v>46200</v>
      </c>
      <c r="E609" t="s">
        <v>3</v>
      </c>
    </row>
    <row r="610" spans="1:5" x14ac:dyDescent="0.35">
      <c r="A610" t="s">
        <v>711</v>
      </c>
      <c r="B610" t="s">
        <v>1558</v>
      </c>
      <c r="C610" t="s">
        <v>34</v>
      </c>
      <c r="D610">
        <v>56100</v>
      </c>
      <c r="E610" t="s">
        <v>3</v>
      </c>
    </row>
    <row r="611" spans="1:5" x14ac:dyDescent="0.35">
      <c r="A611" t="s">
        <v>712</v>
      </c>
      <c r="B611" t="s">
        <v>1587</v>
      </c>
      <c r="C611" t="s">
        <v>63</v>
      </c>
      <c r="D611">
        <v>0</v>
      </c>
      <c r="E611" t="s">
        <v>3</v>
      </c>
    </row>
    <row r="612" spans="1:5" x14ac:dyDescent="0.35">
      <c r="A612" t="s">
        <v>713</v>
      </c>
      <c r="B612" t="s">
        <v>1558</v>
      </c>
      <c r="C612" t="s">
        <v>34</v>
      </c>
      <c r="D612">
        <v>46300</v>
      </c>
      <c r="E612" t="s">
        <v>3</v>
      </c>
    </row>
    <row r="613" spans="1:5" x14ac:dyDescent="0.35">
      <c r="A613" t="s">
        <v>714</v>
      </c>
      <c r="B613" t="s">
        <v>1580</v>
      </c>
      <c r="C613" t="s">
        <v>56</v>
      </c>
      <c r="D613">
        <v>187600</v>
      </c>
      <c r="E613" t="s">
        <v>3</v>
      </c>
    </row>
    <row r="614" spans="1:5" x14ac:dyDescent="0.35">
      <c r="A614" t="s">
        <v>715</v>
      </c>
      <c r="B614" t="s">
        <v>1580</v>
      </c>
      <c r="C614" t="s">
        <v>56</v>
      </c>
      <c r="D614">
        <v>136500</v>
      </c>
      <c r="E614" t="s">
        <v>3</v>
      </c>
    </row>
    <row r="615" spans="1:5" x14ac:dyDescent="0.35">
      <c r="A615" t="s">
        <v>716</v>
      </c>
      <c r="B615" t="s">
        <v>1589</v>
      </c>
      <c r="C615" t="s">
        <v>65</v>
      </c>
      <c r="D615">
        <v>65600</v>
      </c>
      <c r="E615" t="s">
        <v>3</v>
      </c>
    </row>
    <row r="616" spans="1:5" x14ac:dyDescent="0.35">
      <c r="A616" t="s">
        <v>717</v>
      </c>
      <c r="B616" t="s">
        <v>1558</v>
      </c>
      <c r="C616" t="s">
        <v>34</v>
      </c>
      <c r="D616">
        <v>75100</v>
      </c>
      <c r="E616" t="s">
        <v>3</v>
      </c>
    </row>
    <row r="617" spans="1:5" x14ac:dyDescent="0.35">
      <c r="A617" t="s">
        <v>718</v>
      </c>
      <c r="B617" t="s">
        <v>1558</v>
      </c>
      <c r="C617" t="s">
        <v>34</v>
      </c>
      <c r="D617">
        <v>43300</v>
      </c>
      <c r="E617" t="s">
        <v>3</v>
      </c>
    </row>
    <row r="618" spans="1:5" x14ac:dyDescent="0.35">
      <c r="A618" t="s">
        <v>719</v>
      </c>
      <c r="B618" t="s">
        <v>1597</v>
      </c>
      <c r="C618" t="s">
        <v>73</v>
      </c>
      <c r="D618">
        <v>78500</v>
      </c>
      <c r="E618" t="s">
        <v>3</v>
      </c>
    </row>
    <row r="619" spans="1:5" x14ac:dyDescent="0.35">
      <c r="A619" t="s">
        <v>720</v>
      </c>
      <c r="B619" t="s">
        <v>1550</v>
      </c>
      <c r="C619" t="s">
        <v>26</v>
      </c>
      <c r="D619">
        <v>72400</v>
      </c>
      <c r="E619" t="s">
        <v>3</v>
      </c>
    </row>
    <row r="620" spans="1:5" x14ac:dyDescent="0.35">
      <c r="A620" t="s">
        <v>721</v>
      </c>
      <c r="B620" t="s">
        <v>1538</v>
      </c>
      <c r="C620" t="s">
        <v>14</v>
      </c>
      <c r="D620">
        <v>103600</v>
      </c>
      <c r="E620" t="s">
        <v>3</v>
      </c>
    </row>
    <row r="621" spans="1:5" x14ac:dyDescent="0.35">
      <c r="A621" t="s">
        <v>722</v>
      </c>
      <c r="B621" t="s">
        <v>1542</v>
      </c>
      <c r="C621" t="s">
        <v>18</v>
      </c>
      <c r="D621">
        <v>95900</v>
      </c>
      <c r="E621" t="s">
        <v>3</v>
      </c>
    </row>
    <row r="622" spans="1:5" x14ac:dyDescent="0.35">
      <c r="A622" t="s">
        <v>723</v>
      </c>
      <c r="B622" t="s">
        <v>1542</v>
      </c>
      <c r="C622" t="s">
        <v>18</v>
      </c>
      <c r="D622">
        <v>132800</v>
      </c>
      <c r="E622" t="s">
        <v>3</v>
      </c>
    </row>
    <row r="623" spans="1:5" x14ac:dyDescent="0.35">
      <c r="A623" t="s">
        <v>724</v>
      </c>
      <c r="B623" t="s">
        <v>1550</v>
      </c>
      <c r="C623" t="s">
        <v>26</v>
      </c>
      <c r="D623">
        <v>69500</v>
      </c>
      <c r="E623" t="s">
        <v>3</v>
      </c>
    </row>
    <row r="624" spans="1:5" x14ac:dyDescent="0.35">
      <c r="A624" t="s">
        <v>725</v>
      </c>
      <c r="B624" t="s">
        <v>1562</v>
      </c>
      <c r="C624" t="s">
        <v>38</v>
      </c>
      <c r="D624">
        <v>59500</v>
      </c>
      <c r="E624" t="s">
        <v>3</v>
      </c>
    </row>
    <row r="625" spans="1:5" x14ac:dyDescent="0.35">
      <c r="A625" t="s">
        <v>726</v>
      </c>
      <c r="B625" t="s">
        <v>1539</v>
      </c>
      <c r="C625" t="s">
        <v>15</v>
      </c>
      <c r="D625">
        <v>60200</v>
      </c>
      <c r="E625" t="s">
        <v>3</v>
      </c>
    </row>
    <row r="626" spans="1:5" x14ac:dyDescent="0.35">
      <c r="A626" t="s">
        <v>727</v>
      </c>
      <c r="B626" t="s">
        <v>1598</v>
      </c>
      <c r="C626" t="s">
        <v>74</v>
      </c>
      <c r="D626">
        <v>0</v>
      </c>
      <c r="E626" t="s">
        <v>3</v>
      </c>
    </row>
    <row r="627" spans="1:5" x14ac:dyDescent="0.35">
      <c r="A627" t="s">
        <v>728</v>
      </c>
      <c r="B627" t="s">
        <v>1542</v>
      </c>
      <c r="C627" t="s">
        <v>18</v>
      </c>
      <c r="D627">
        <v>51600</v>
      </c>
      <c r="E627" t="s">
        <v>3</v>
      </c>
    </row>
    <row r="628" spans="1:5" x14ac:dyDescent="0.35">
      <c r="A628" t="s">
        <v>729</v>
      </c>
      <c r="B628" t="s">
        <v>1569</v>
      </c>
      <c r="C628" t="s">
        <v>45</v>
      </c>
      <c r="D628">
        <v>105200</v>
      </c>
      <c r="E628" t="s">
        <v>3</v>
      </c>
    </row>
    <row r="629" spans="1:5" x14ac:dyDescent="0.35">
      <c r="A629" t="s">
        <v>730</v>
      </c>
      <c r="B629" t="s">
        <v>1538</v>
      </c>
      <c r="C629" t="s">
        <v>14</v>
      </c>
      <c r="D629">
        <v>38200</v>
      </c>
      <c r="E629" t="s">
        <v>3</v>
      </c>
    </row>
    <row r="630" spans="1:5" x14ac:dyDescent="0.35">
      <c r="A630" t="s">
        <v>731</v>
      </c>
      <c r="B630" t="s">
        <v>1542</v>
      </c>
      <c r="C630" t="s">
        <v>18</v>
      </c>
      <c r="D630">
        <v>0</v>
      </c>
      <c r="E630" t="s">
        <v>3</v>
      </c>
    </row>
    <row r="631" spans="1:5" x14ac:dyDescent="0.35">
      <c r="A631" t="s">
        <v>732</v>
      </c>
      <c r="B631" t="s">
        <v>1539</v>
      </c>
      <c r="C631" t="s">
        <v>15</v>
      </c>
      <c r="D631">
        <v>33300</v>
      </c>
      <c r="E631" t="s">
        <v>3</v>
      </c>
    </row>
    <row r="632" spans="1:5" x14ac:dyDescent="0.35">
      <c r="A632" t="s">
        <v>733</v>
      </c>
      <c r="B632" t="s">
        <v>1540</v>
      </c>
      <c r="C632" t="s">
        <v>16</v>
      </c>
      <c r="D632">
        <v>155600</v>
      </c>
      <c r="E632" t="s">
        <v>3</v>
      </c>
    </row>
    <row r="633" spans="1:5" x14ac:dyDescent="0.35">
      <c r="A633" t="s">
        <v>734</v>
      </c>
      <c r="B633" t="s">
        <v>1538</v>
      </c>
      <c r="C633" t="s">
        <v>14</v>
      </c>
      <c r="D633">
        <v>99000</v>
      </c>
      <c r="E633" t="s">
        <v>3</v>
      </c>
    </row>
    <row r="634" spans="1:5" x14ac:dyDescent="0.35">
      <c r="A634" t="s">
        <v>735</v>
      </c>
      <c r="B634" t="s">
        <v>1574</v>
      </c>
      <c r="C634" t="s">
        <v>50</v>
      </c>
      <c r="D634">
        <v>55500</v>
      </c>
      <c r="E634" t="s">
        <v>3</v>
      </c>
    </row>
    <row r="635" spans="1:5" x14ac:dyDescent="0.35">
      <c r="A635" t="s">
        <v>736</v>
      </c>
      <c r="B635" t="s">
        <v>1538</v>
      </c>
      <c r="C635" t="s">
        <v>14</v>
      </c>
      <c r="D635">
        <v>89500</v>
      </c>
      <c r="E635" t="s">
        <v>3</v>
      </c>
    </row>
    <row r="636" spans="1:5" x14ac:dyDescent="0.35">
      <c r="A636" t="s">
        <v>737</v>
      </c>
      <c r="B636" t="s">
        <v>1542</v>
      </c>
      <c r="C636" t="s">
        <v>18</v>
      </c>
      <c r="D636">
        <v>164500</v>
      </c>
      <c r="E636" t="s">
        <v>3</v>
      </c>
    </row>
    <row r="637" spans="1:5" x14ac:dyDescent="0.35">
      <c r="A637" t="s">
        <v>738</v>
      </c>
      <c r="B637" t="s">
        <v>1540</v>
      </c>
      <c r="C637" t="s">
        <v>16</v>
      </c>
      <c r="D637">
        <v>9500</v>
      </c>
      <c r="E637" t="s">
        <v>3</v>
      </c>
    </row>
    <row r="638" spans="1:5" x14ac:dyDescent="0.35">
      <c r="A638" t="s">
        <v>739</v>
      </c>
      <c r="B638" t="s">
        <v>1594</v>
      </c>
      <c r="C638" t="s">
        <v>70</v>
      </c>
      <c r="D638">
        <v>1200</v>
      </c>
      <c r="E638" t="s">
        <v>3</v>
      </c>
    </row>
    <row r="639" spans="1:5" x14ac:dyDescent="0.35">
      <c r="A639" t="s">
        <v>740</v>
      </c>
      <c r="B639" t="s">
        <v>1542</v>
      </c>
      <c r="C639" t="s">
        <v>18</v>
      </c>
      <c r="D639">
        <v>4600</v>
      </c>
      <c r="E639" t="s">
        <v>3</v>
      </c>
    </row>
    <row r="640" spans="1:5" x14ac:dyDescent="0.35">
      <c r="A640" t="s">
        <v>741</v>
      </c>
      <c r="B640" t="s">
        <v>1576</v>
      </c>
      <c r="C640" t="s">
        <v>52</v>
      </c>
      <c r="D640">
        <v>97500</v>
      </c>
      <c r="E640" t="s">
        <v>3</v>
      </c>
    </row>
    <row r="641" spans="1:5" x14ac:dyDescent="0.35">
      <c r="A641" t="s">
        <v>742</v>
      </c>
      <c r="B641" t="s">
        <v>1542</v>
      </c>
      <c r="C641" t="s">
        <v>18</v>
      </c>
      <c r="D641">
        <v>60600</v>
      </c>
      <c r="E641" t="s">
        <v>3</v>
      </c>
    </row>
    <row r="642" spans="1:5" x14ac:dyDescent="0.35">
      <c r="A642" t="s">
        <v>743</v>
      </c>
      <c r="B642" t="s">
        <v>1542</v>
      </c>
      <c r="C642" t="s">
        <v>18</v>
      </c>
      <c r="D642">
        <v>44600</v>
      </c>
      <c r="E642" t="s">
        <v>3</v>
      </c>
    </row>
    <row r="643" spans="1:5" x14ac:dyDescent="0.35">
      <c r="A643" t="s">
        <v>744</v>
      </c>
      <c r="B643" t="s">
        <v>1599</v>
      </c>
      <c r="C643" t="s">
        <v>75</v>
      </c>
      <c r="D643">
        <v>210000</v>
      </c>
      <c r="E643" t="s">
        <v>3</v>
      </c>
    </row>
    <row r="644" spans="1:5" x14ac:dyDescent="0.35">
      <c r="A644" t="s">
        <v>745</v>
      </c>
      <c r="B644" t="s">
        <v>1544</v>
      </c>
      <c r="C644" t="s">
        <v>20</v>
      </c>
      <c r="D644">
        <v>147300</v>
      </c>
      <c r="E644" t="s">
        <v>3</v>
      </c>
    </row>
    <row r="645" spans="1:5" x14ac:dyDescent="0.35">
      <c r="A645" t="s">
        <v>746</v>
      </c>
      <c r="B645" t="s">
        <v>1539</v>
      </c>
      <c r="C645" t="s">
        <v>15</v>
      </c>
      <c r="D645">
        <v>37000</v>
      </c>
      <c r="E645" t="s">
        <v>3</v>
      </c>
    </row>
    <row r="646" spans="1:5" x14ac:dyDescent="0.35">
      <c r="A646" t="s">
        <v>747</v>
      </c>
      <c r="B646" t="s">
        <v>1538</v>
      </c>
      <c r="C646" t="s">
        <v>14</v>
      </c>
      <c r="D646">
        <v>69500</v>
      </c>
      <c r="E646" t="s">
        <v>3</v>
      </c>
    </row>
    <row r="647" spans="1:5" x14ac:dyDescent="0.35">
      <c r="A647" t="s">
        <v>748</v>
      </c>
      <c r="B647" t="s">
        <v>1558</v>
      </c>
      <c r="C647" t="s">
        <v>34</v>
      </c>
      <c r="D647">
        <v>55800</v>
      </c>
      <c r="E647" t="s">
        <v>3</v>
      </c>
    </row>
    <row r="648" spans="1:5" x14ac:dyDescent="0.35">
      <c r="A648" t="s">
        <v>749</v>
      </c>
      <c r="B648" t="s">
        <v>1536</v>
      </c>
      <c r="C648" t="s">
        <v>12</v>
      </c>
      <c r="D648">
        <v>55400</v>
      </c>
      <c r="E648" t="s">
        <v>3</v>
      </c>
    </row>
    <row r="649" spans="1:5" x14ac:dyDescent="0.35">
      <c r="A649" t="s">
        <v>750</v>
      </c>
      <c r="B649" t="s">
        <v>1550</v>
      </c>
      <c r="C649" t="s">
        <v>26</v>
      </c>
      <c r="D649">
        <v>53400</v>
      </c>
      <c r="E649" t="s">
        <v>3</v>
      </c>
    </row>
    <row r="650" spans="1:5" x14ac:dyDescent="0.35">
      <c r="A650" t="s">
        <v>751</v>
      </c>
      <c r="B650" t="s">
        <v>1550</v>
      </c>
      <c r="C650" t="s">
        <v>26</v>
      </c>
      <c r="D650">
        <v>51500</v>
      </c>
      <c r="E650" t="s">
        <v>3</v>
      </c>
    </row>
    <row r="651" spans="1:5" x14ac:dyDescent="0.35">
      <c r="A651" t="s">
        <v>752</v>
      </c>
      <c r="B651" t="s">
        <v>1543</v>
      </c>
      <c r="C651" t="s">
        <v>19</v>
      </c>
      <c r="D651">
        <v>0</v>
      </c>
      <c r="E651" t="s">
        <v>3</v>
      </c>
    </row>
    <row r="652" spans="1:5" x14ac:dyDescent="0.35">
      <c r="A652" t="s">
        <v>753</v>
      </c>
      <c r="B652" t="s">
        <v>1564</v>
      </c>
      <c r="C652" t="s">
        <v>40</v>
      </c>
      <c r="D652">
        <v>50100</v>
      </c>
      <c r="E652" t="s">
        <v>3</v>
      </c>
    </row>
    <row r="653" spans="1:5" x14ac:dyDescent="0.35">
      <c r="A653" t="s">
        <v>754</v>
      </c>
      <c r="B653" t="s">
        <v>1600</v>
      </c>
      <c r="C653" t="s">
        <v>76</v>
      </c>
      <c r="D653">
        <v>68400</v>
      </c>
      <c r="E653" t="s">
        <v>3</v>
      </c>
    </row>
    <row r="654" spans="1:5" x14ac:dyDescent="0.35">
      <c r="A654" t="s">
        <v>755</v>
      </c>
      <c r="B654" t="s">
        <v>1542</v>
      </c>
      <c r="C654" t="s">
        <v>18</v>
      </c>
      <c r="D654">
        <v>94600</v>
      </c>
      <c r="E654" t="s">
        <v>3</v>
      </c>
    </row>
    <row r="655" spans="1:5" x14ac:dyDescent="0.35">
      <c r="A655" t="s">
        <v>756</v>
      </c>
      <c r="B655" t="s">
        <v>1534</v>
      </c>
      <c r="C655" t="s">
        <v>10</v>
      </c>
      <c r="D655">
        <v>0</v>
      </c>
      <c r="E655" t="s">
        <v>3</v>
      </c>
    </row>
    <row r="656" spans="1:5" x14ac:dyDescent="0.35">
      <c r="A656" t="s">
        <v>757</v>
      </c>
      <c r="B656" t="s">
        <v>1576</v>
      </c>
      <c r="C656" t="s">
        <v>52</v>
      </c>
      <c r="D656">
        <v>78700</v>
      </c>
      <c r="E656" t="s">
        <v>3</v>
      </c>
    </row>
    <row r="657" spans="1:5" x14ac:dyDescent="0.35">
      <c r="A657" t="s">
        <v>758</v>
      </c>
      <c r="B657" t="s">
        <v>1550</v>
      </c>
      <c r="C657" t="s">
        <v>26</v>
      </c>
      <c r="D657">
        <v>74900</v>
      </c>
      <c r="E657" t="s">
        <v>3</v>
      </c>
    </row>
    <row r="658" spans="1:5" x14ac:dyDescent="0.35">
      <c r="A658" t="s">
        <v>759</v>
      </c>
      <c r="B658" t="s">
        <v>1550</v>
      </c>
      <c r="C658" t="s">
        <v>26</v>
      </c>
      <c r="D658">
        <v>59800</v>
      </c>
      <c r="E658" t="s">
        <v>3</v>
      </c>
    </row>
    <row r="659" spans="1:5" x14ac:dyDescent="0.35">
      <c r="A659" t="s">
        <v>760</v>
      </c>
      <c r="B659" t="s">
        <v>1534</v>
      </c>
      <c r="C659" t="s">
        <v>10</v>
      </c>
      <c r="D659">
        <v>35500</v>
      </c>
      <c r="E659" t="s">
        <v>3</v>
      </c>
    </row>
    <row r="660" spans="1:5" x14ac:dyDescent="0.35">
      <c r="A660" t="s">
        <v>761</v>
      </c>
      <c r="B660" t="s">
        <v>1543</v>
      </c>
      <c r="C660" t="s">
        <v>19</v>
      </c>
      <c r="D660">
        <v>189000</v>
      </c>
      <c r="E660" t="s">
        <v>3</v>
      </c>
    </row>
    <row r="661" spans="1:5" x14ac:dyDescent="0.35">
      <c r="A661" t="s">
        <v>762</v>
      </c>
      <c r="B661" t="s">
        <v>1543</v>
      </c>
      <c r="C661" t="s">
        <v>19</v>
      </c>
      <c r="D661">
        <v>163100</v>
      </c>
      <c r="E661" t="s">
        <v>3</v>
      </c>
    </row>
    <row r="662" spans="1:5" x14ac:dyDescent="0.35">
      <c r="A662" t="s">
        <v>763</v>
      </c>
      <c r="B662" t="s">
        <v>1544</v>
      </c>
      <c r="C662" t="s">
        <v>20</v>
      </c>
      <c r="D662">
        <v>198100</v>
      </c>
      <c r="E662" t="s">
        <v>3</v>
      </c>
    </row>
    <row r="663" spans="1:5" x14ac:dyDescent="0.35">
      <c r="A663" t="s">
        <v>764</v>
      </c>
      <c r="B663" t="s">
        <v>1543</v>
      </c>
      <c r="C663" t="s">
        <v>19</v>
      </c>
      <c r="D663">
        <v>134100</v>
      </c>
      <c r="E663" t="s">
        <v>3</v>
      </c>
    </row>
    <row r="664" spans="1:5" x14ac:dyDescent="0.35">
      <c r="A664" t="s">
        <v>765</v>
      </c>
      <c r="B664" t="s">
        <v>1534</v>
      </c>
      <c r="C664" t="s">
        <v>10</v>
      </c>
      <c r="D664">
        <v>56200</v>
      </c>
      <c r="E664" t="s">
        <v>3</v>
      </c>
    </row>
    <row r="665" spans="1:5" x14ac:dyDescent="0.35">
      <c r="A665" t="s">
        <v>766</v>
      </c>
      <c r="B665" t="s">
        <v>1538</v>
      </c>
      <c r="C665" t="s">
        <v>14</v>
      </c>
      <c r="D665">
        <v>72100</v>
      </c>
      <c r="E665" t="s">
        <v>3</v>
      </c>
    </row>
    <row r="666" spans="1:5" x14ac:dyDescent="0.35">
      <c r="A666" t="s">
        <v>767</v>
      </c>
      <c r="B666" t="s">
        <v>1538</v>
      </c>
      <c r="C666" t="s">
        <v>14</v>
      </c>
      <c r="D666">
        <v>60500</v>
      </c>
      <c r="E666" t="s">
        <v>3</v>
      </c>
    </row>
    <row r="667" spans="1:5" x14ac:dyDescent="0.35">
      <c r="A667" t="s">
        <v>768</v>
      </c>
      <c r="B667" t="s">
        <v>1538</v>
      </c>
      <c r="C667" t="s">
        <v>14</v>
      </c>
      <c r="D667">
        <v>107400</v>
      </c>
      <c r="E667" t="s">
        <v>3</v>
      </c>
    </row>
    <row r="668" spans="1:5" x14ac:dyDescent="0.35">
      <c r="A668" t="s">
        <v>769</v>
      </c>
      <c r="B668" t="s">
        <v>1542</v>
      </c>
      <c r="C668" t="s">
        <v>18</v>
      </c>
      <c r="D668">
        <v>66600</v>
      </c>
      <c r="E668" t="s">
        <v>3</v>
      </c>
    </row>
    <row r="669" spans="1:5" x14ac:dyDescent="0.35">
      <c r="A669" t="s">
        <v>770</v>
      </c>
      <c r="B669" t="s">
        <v>1538</v>
      </c>
      <c r="C669" t="s">
        <v>14</v>
      </c>
      <c r="D669">
        <v>54800</v>
      </c>
      <c r="E669" t="s">
        <v>3</v>
      </c>
    </row>
    <row r="670" spans="1:5" x14ac:dyDescent="0.35">
      <c r="A670" t="s">
        <v>771</v>
      </c>
      <c r="B670" t="s">
        <v>1558</v>
      </c>
      <c r="C670" t="s">
        <v>34</v>
      </c>
      <c r="D670">
        <v>51700</v>
      </c>
      <c r="E670" t="s">
        <v>3</v>
      </c>
    </row>
    <row r="671" spans="1:5" x14ac:dyDescent="0.35">
      <c r="A671" t="s">
        <v>772</v>
      </c>
      <c r="B671" t="s">
        <v>1574</v>
      </c>
      <c r="C671" t="s">
        <v>50</v>
      </c>
      <c r="D671">
        <v>92700</v>
      </c>
      <c r="E671" t="s">
        <v>3</v>
      </c>
    </row>
    <row r="672" spans="1:5" x14ac:dyDescent="0.35">
      <c r="A672" t="s">
        <v>773</v>
      </c>
      <c r="B672" t="s">
        <v>1556</v>
      </c>
      <c r="C672" t="s">
        <v>32</v>
      </c>
      <c r="D672">
        <v>110700</v>
      </c>
      <c r="E672" t="s">
        <v>3</v>
      </c>
    </row>
    <row r="673" spans="1:5" x14ac:dyDescent="0.35">
      <c r="A673" t="s">
        <v>774</v>
      </c>
      <c r="B673" t="s">
        <v>1556</v>
      </c>
      <c r="C673" t="s">
        <v>32</v>
      </c>
      <c r="D673">
        <v>112000</v>
      </c>
      <c r="E673" t="s">
        <v>3</v>
      </c>
    </row>
    <row r="674" spans="1:5" x14ac:dyDescent="0.35">
      <c r="A674" t="s">
        <v>775</v>
      </c>
      <c r="B674" t="s">
        <v>1542</v>
      </c>
      <c r="C674" t="s">
        <v>18</v>
      </c>
      <c r="D674">
        <v>110000</v>
      </c>
      <c r="E674" t="s">
        <v>3</v>
      </c>
    </row>
    <row r="675" spans="1:5" x14ac:dyDescent="0.35">
      <c r="A675" t="s">
        <v>776</v>
      </c>
      <c r="B675" t="s">
        <v>1558</v>
      </c>
      <c r="C675" t="s">
        <v>34</v>
      </c>
      <c r="D675">
        <v>47600</v>
      </c>
      <c r="E675" t="s">
        <v>3</v>
      </c>
    </row>
    <row r="676" spans="1:5" x14ac:dyDescent="0.35">
      <c r="A676" t="s">
        <v>777</v>
      </c>
      <c r="B676" t="s">
        <v>1558</v>
      </c>
      <c r="C676" t="s">
        <v>34</v>
      </c>
      <c r="D676">
        <v>56700</v>
      </c>
      <c r="E676" t="s">
        <v>3</v>
      </c>
    </row>
    <row r="677" spans="1:5" x14ac:dyDescent="0.35">
      <c r="A677" t="s">
        <v>778</v>
      </c>
      <c r="B677" t="s">
        <v>1558</v>
      </c>
      <c r="C677" t="s">
        <v>34</v>
      </c>
      <c r="D677">
        <v>48300</v>
      </c>
      <c r="E677" t="s">
        <v>3</v>
      </c>
    </row>
    <row r="678" spans="1:5" x14ac:dyDescent="0.35">
      <c r="A678" t="s">
        <v>779</v>
      </c>
      <c r="B678" t="s">
        <v>1560</v>
      </c>
      <c r="C678" t="s">
        <v>36</v>
      </c>
      <c r="D678">
        <v>43900</v>
      </c>
      <c r="E678" t="s">
        <v>3</v>
      </c>
    </row>
    <row r="679" spans="1:5" x14ac:dyDescent="0.35">
      <c r="A679" t="s">
        <v>780</v>
      </c>
      <c r="B679" t="s">
        <v>1548</v>
      </c>
      <c r="C679" t="s">
        <v>24</v>
      </c>
      <c r="D679">
        <v>0</v>
      </c>
      <c r="E679" t="s">
        <v>3</v>
      </c>
    </row>
    <row r="680" spans="1:5" x14ac:dyDescent="0.35">
      <c r="A680" t="s">
        <v>781</v>
      </c>
      <c r="B680" t="s">
        <v>1601</v>
      </c>
      <c r="C680" t="s">
        <v>77</v>
      </c>
      <c r="D680">
        <v>146900</v>
      </c>
      <c r="E680" t="s">
        <v>3</v>
      </c>
    </row>
    <row r="681" spans="1:5" x14ac:dyDescent="0.35">
      <c r="A681" t="s">
        <v>782</v>
      </c>
      <c r="B681" t="s">
        <v>1558</v>
      </c>
      <c r="C681" t="s">
        <v>34</v>
      </c>
      <c r="D681">
        <v>62600</v>
      </c>
      <c r="E681" t="s">
        <v>3</v>
      </c>
    </row>
    <row r="682" spans="1:5" x14ac:dyDescent="0.35">
      <c r="A682" t="s">
        <v>783</v>
      </c>
      <c r="B682" t="s">
        <v>1558</v>
      </c>
      <c r="C682" t="s">
        <v>34</v>
      </c>
      <c r="D682">
        <v>54000</v>
      </c>
      <c r="E682" t="s">
        <v>3</v>
      </c>
    </row>
    <row r="683" spans="1:5" x14ac:dyDescent="0.35">
      <c r="A683" t="s">
        <v>784</v>
      </c>
      <c r="B683" t="s">
        <v>1543</v>
      </c>
      <c r="C683" t="s">
        <v>19</v>
      </c>
      <c r="D683">
        <v>108800</v>
      </c>
      <c r="E683" t="s">
        <v>3</v>
      </c>
    </row>
    <row r="684" spans="1:5" x14ac:dyDescent="0.35">
      <c r="A684" t="s">
        <v>785</v>
      </c>
      <c r="B684" t="s">
        <v>1560</v>
      </c>
      <c r="C684" t="s">
        <v>36</v>
      </c>
      <c r="D684">
        <v>112300</v>
      </c>
      <c r="E684" t="s">
        <v>3</v>
      </c>
    </row>
    <row r="685" spans="1:5" x14ac:dyDescent="0.35">
      <c r="A685" t="s">
        <v>786</v>
      </c>
      <c r="B685" t="s">
        <v>1595</v>
      </c>
      <c r="C685" t="s">
        <v>71</v>
      </c>
      <c r="D685">
        <v>53500</v>
      </c>
      <c r="E685" t="s">
        <v>3</v>
      </c>
    </row>
    <row r="686" spans="1:5" x14ac:dyDescent="0.35">
      <c r="A686" t="s">
        <v>787</v>
      </c>
      <c r="B686" t="s">
        <v>1551</v>
      </c>
      <c r="C686" t="s">
        <v>27</v>
      </c>
      <c r="D686">
        <v>56000</v>
      </c>
      <c r="E686" t="s">
        <v>3</v>
      </c>
    </row>
    <row r="687" spans="1:5" x14ac:dyDescent="0.35">
      <c r="A687" t="s">
        <v>788</v>
      </c>
      <c r="B687" t="s">
        <v>1551</v>
      </c>
      <c r="C687" t="s">
        <v>27</v>
      </c>
      <c r="D687">
        <v>55400</v>
      </c>
      <c r="E687" t="s">
        <v>3</v>
      </c>
    </row>
    <row r="688" spans="1:5" x14ac:dyDescent="0.35">
      <c r="A688" t="s">
        <v>789</v>
      </c>
      <c r="B688" t="s">
        <v>1547</v>
      </c>
      <c r="C688" t="s">
        <v>23</v>
      </c>
      <c r="D688">
        <v>96000</v>
      </c>
      <c r="E688" t="s">
        <v>3</v>
      </c>
    </row>
    <row r="689" spans="1:5" x14ac:dyDescent="0.35">
      <c r="A689" t="s">
        <v>790</v>
      </c>
      <c r="B689" t="s">
        <v>1547</v>
      </c>
      <c r="C689" t="s">
        <v>23</v>
      </c>
      <c r="D689">
        <v>131000</v>
      </c>
      <c r="E689" t="s">
        <v>3</v>
      </c>
    </row>
    <row r="690" spans="1:5" x14ac:dyDescent="0.35">
      <c r="A690" t="s">
        <v>791</v>
      </c>
      <c r="B690" t="s">
        <v>1538</v>
      </c>
      <c r="C690" t="s">
        <v>14</v>
      </c>
      <c r="D690">
        <v>75500</v>
      </c>
      <c r="E690" t="s">
        <v>3</v>
      </c>
    </row>
    <row r="691" spans="1:5" x14ac:dyDescent="0.35">
      <c r="A691" t="s">
        <v>792</v>
      </c>
      <c r="B691" t="s">
        <v>1538</v>
      </c>
      <c r="C691" t="s">
        <v>14</v>
      </c>
      <c r="D691">
        <v>66800</v>
      </c>
      <c r="E691" t="s">
        <v>3</v>
      </c>
    </row>
    <row r="692" spans="1:5" x14ac:dyDescent="0.35">
      <c r="A692" t="s">
        <v>793</v>
      </c>
      <c r="B692" t="s">
        <v>1602</v>
      </c>
      <c r="C692" t="s">
        <v>78</v>
      </c>
      <c r="D692">
        <v>184700</v>
      </c>
      <c r="E692" t="s">
        <v>3</v>
      </c>
    </row>
    <row r="693" spans="1:5" x14ac:dyDescent="0.35">
      <c r="A693" t="s">
        <v>794</v>
      </c>
      <c r="B693" t="s">
        <v>1576</v>
      </c>
      <c r="C693" t="s">
        <v>52</v>
      </c>
      <c r="D693">
        <v>119100</v>
      </c>
      <c r="E693" t="s">
        <v>3</v>
      </c>
    </row>
    <row r="694" spans="1:5" x14ac:dyDescent="0.35">
      <c r="A694" t="s">
        <v>795</v>
      </c>
      <c r="B694" t="s">
        <v>1558</v>
      </c>
      <c r="C694" t="s">
        <v>34</v>
      </c>
      <c r="D694">
        <v>196500</v>
      </c>
      <c r="E694" t="s">
        <v>3</v>
      </c>
    </row>
    <row r="695" spans="1:5" x14ac:dyDescent="0.35">
      <c r="A695" t="s">
        <v>796</v>
      </c>
      <c r="B695" t="s">
        <v>1540</v>
      </c>
      <c r="C695" t="s">
        <v>16</v>
      </c>
      <c r="D695">
        <v>244600</v>
      </c>
      <c r="E695" t="s">
        <v>3</v>
      </c>
    </row>
    <row r="696" spans="1:5" x14ac:dyDescent="0.35">
      <c r="A696" t="s">
        <v>797</v>
      </c>
      <c r="B696" t="s">
        <v>1576</v>
      </c>
      <c r="C696" t="s">
        <v>52</v>
      </c>
      <c r="D696">
        <v>0</v>
      </c>
      <c r="E696" t="s">
        <v>3</v>
      </c>
    </row>
    <row r="697" spans="1:5" x14ac:dyDescent="0.35">
      <c r="A697" t="s">
        <v>798</v>
      </c>
      <c r="B697" t="s">
        <v>1603</v>
      </c>
      <c r="C697" t="s">
        <v>79</v>
      </c>
      <c r="D697">
        <v>7200</v>
      </c>
      <c r="E697" t="s">
        <v>3</v>
      </c>
    </row>
    <row r="698" spans="1:5" x14ac:dyDescent="0.35">
      <c r="A698" t="s">
        <v>799</v>
      </c>
      <c r="B698" t="s">
        <v>1542</v>
      </c>
      <c r="C698" t="s">
        <v>18</v>
      </c>
      <c r="D698">
        <v>272500</v>
      </c>
      <c r="E698" t="s">
        <v>3</v>
      </c>
    </row>
    <row r="699" spans="1:5" x14ac:dyDescent="0.35">
      <c r="A699" t="s">
        <v>800</v>
      </c>
      <c r="B699" t="s">
        <v>1538</v>
      </c>
      <c r="C699" t="s">
        <v>14</v>
      </c>
      <c r="D699">
        <v>74500</v>
      </c>
      <c r="E699" t="s">
        <v>3</v>
      </c>
    </row>
    <row r="700" spans="1:5" x14ac:dyDescent="0.35">
      <c r="A700" t="s">
        <v>801</v>
      </c>
      <c r="B700" t="s">
        <v>1538</v>
      </c>
      <c r="C700" t="s">
        <v>14</v>
      </c>
      <c r="D700">
        <v>72600</v>
      </c>
      <c r="E700" t="s">
        <v>3</v>
      </c>
    </row>
    <row r="701" spans="1:5" x14ac:dyDescent="0.35">
      <c r="A701" t="s">
        <v>802</v>
      </c>
      <c r="B701" t="s">
        <v>1538</v>
      </c>
      <c r="C701" t="s">
        <v>14</v>
      </c>
      <c r="D701">
        <v>58200</v>
      </c>
      <c r="E701" t="s">
        <v>3</v>
      </c>
    </row>
    <row r="702" spans="1:5" x14ac:dyDescent="0.35">
      <c r="A702" t="s">
        <v>803</v>
      </c>
      <c r="B702" t="s">
        <v>1538</v>
      </c>
      <c r="C702" t="s">
        <v>14</v>
      </c>
      <c r="D702">
        <v>57500</v>
      </c>
      <c r="E702" t="s">
        <v>3</v>
      </c>
    </row>
    <row r="703" spans="1:5" x14ac:dyDescent="0.35">
      <c r="A703" t="s">
        <v>804</v>
      </c>
      <c r="B703" t="s">
        <v>1550</v>
      </c>
      <c r="C703" t="s">
        <v>26</v>
      </c>
      <c r="D703">
        <v>55800</v>
      </c>
      <c r="E703" t="s">
        <v>3</v>
      </c>
    </row>
    <row r="704" spans="1:5" x14ac:dyDescent="0.35">
      <c r="A704" t="s">
        <v>805</v>
      </c>
      <c r="B704" t="s">
        <v>1545</v>
      </c>
      <c r="C704" t="s">
        <v>21</v>
      </c>
      <c r="D704">
        <v>88900</v>
      </c>
      <c r="E704" t="s">
        <v>3</v>
      </c>
    </row>
    <row r="705" spans="1:5" x14ac:dyDescent="0.35">
      <c r="A705" t="s">
        <v>806</v>
      </c>
      <c r="B705" t="s">
        <v>1545</v>
      </c>
      <c r="C705" t="s">
        <v>21</v>
      </c>
      <c r="D705">
        <v>44500</v>
      </c>
      <c r="E705" t="s">
        <v>3</v>
      </c>
    </row>
    <row r="706" spans="1:5" x14ac:dyDescent="0.35">
      <c r="A706" t="s">
        <v>807</v>
      </c>
      <c r="B706" t="s">
        <v>1545</v>
      </c>
      <c r="C706" t="s">
        <v>21</v>
      </c>
      <c r="D706">
        <v>86700</v>
      </c>
      <c r="E706" t="s">
        <v>3</v>
      </c>
    </row>
    <row r="707" spans="1:5" x14ac:dyDescent="0.35">
      <c r="A707" t="s">
        <v>808</v>
      </c>
      <c r="B707" t="s">
        <v>1545</v>
      </c>
      <c r="C707" t="s">
        <v>21</v>
      </c>
      <c r="D707">
        <v>59300</v>
      </c>
      <c r="E707" t="s">
        <v>3</v>
      </c>
    </row>
    <row r="708" spans="1:5" x14ac:dyDescent="0.35">
      <c r="A708" t="s">
        <v>809</v>
      </c>
      <c r="B708" t="s">
        <v>1545</v>
      </c>
      <c r="C708" t="s">
        <v>21</v>
      </c>
      <c r="D708">
        <v>120900</v>
      </c>
      <c r="E708" t="s">
        <v>3</v>
      </c>
    </row>
    <row r="709" spans="1:5" x14ac:dyDescent="0.35">
      <c r="A709" t="s">
        <v>810</v>
      </c>
      <c r="B709" t="s">
        <v>1545</v>
      </c>
      <c r="C709" t="s">
        <v>21</v>
      </c>
      <c r="D709">
        <v>104100</v>
      </c>
      <c r="E709" t="s">
        <v>3</v>
      </c>
    </row>
    <row r="710" spans="1:5" x14ac:dyDescent="0.35">
      <c r="A710" t="s">
        <v>811</v>
      </c>
      <c r="B710" t="s">
        <v>1540</v>
      </c>
      <c r="C710" t="s">
        <v>16</v>
      </c>
      <c r="D710">
        <v>13900</v>
      </c>
      <c r="E710" t="s">
        <v>3</v>
      </c>
    </row>
    <row r="711" spans="1:5" x14ac:dyDescent="0.35">
      <c r="A711" t="s">
        <v>812</v>
      </c>
      <c r="B711" t="s">
        <v>1602</v>
      </c>
      <c r="C711" t="s">
        <v>78</v>
      </c>
      <c r="D711">
        <v>101200</v>
      </c>
      <c r="E711" t="s">
        <v>3</v>
      </c>
    </row>
    <row r="712" spans="1:5" x14ac:dyDescent="0.35">
      <c r="A712" t="s">
        <v>813</v>
      </c>
      <c r="B712" t="s">
        <v>1558</v>
      </c>
      <c r="C712" t="s">
        <v>34</v>
      </c>
      <c r="D712">
        <v>45400</v>
      </c>
      <c r="E712" t="s">
        <v>3</v>
      </c>
    </row>
    <row r="713" spans="1:5" x14ac:dyDescent="0.35">
      <c r="A713" t="s">
        <v>814</v>
      </c>
      <c r="B713" t="s">
        <v>1604</v>
      </c>
      <c r="C713" t="s">
        <v>80</v>
      </c>
      <c r="D713">
        <v>511900</v>
      </c>
      <c r="E713" t="s">
        <v>3</v>
      </c>
    </row>
    <row r="714" spans="1:5" x14ac:dyDescent="0.35">
      <c r="A714" t="s">
        <v>815</v>
      </c>
      <c r="B714" t="s">
        <v>1576</v>
      </c>
      <c r="C714" t="s">
        <v>52</v>
      </c>
      <c r="D714">
        <v>100200</v>
      </c>
      <c r="E714" t="s">
        <v>3</v>
      </c>
    </row>
    <row r="715" spans="1:5" x14ac:dyDescent="0.35">
      <c r="A715" t="s">
        <v>816</v>
      </c>
      <c r="B715" t="s">
        <v>1594</v>
      </c>
      <c r="C715" t="s">
        <v>70</v>
      </c>
      <c r="D715">
        <v>40200</v>
      </c>
      <c r="E715" t="s">
        <v>3</v>
      </c>
    </row>
    <row r="716" spans="1:5" x14ac:dyDescent="0.35">
      <c r="A716" t="s">
        <v>817</v>
      </c>
      <c r="B716" t="s">
        <v>1568</v>
      </c>
      <c r="C716" t="s">
        <v>44</v>
      </c>
      <c r="D716">
        <v>105300</v>
      </c>
      <c r="E716" t="s">
        <v>3</v>
      </c>
    </row>
    <row r="717" spans="1:5" x14ac:dyDescent="0.35">
      <c r="A717" t="s">
        <v>818</v>
      </c>
      <c r="B717" t="s">
        <v>1551</v>
      </c>
      <c r="C717" t="s">
        <v>27</v>
      </c>
      <c r="D717">
        <v>165300</v>
      </c>
      <c r="E717" t="s">
        <v>3</v>
      </c>
    </row>
    <row r="718" spans="1:5" x14ac:dyDescent="0.35">
      <c r="A718" t="s">
        <v>819</v>
      </c>
      <c r="B718" t="s">
        <v>1542</v>
      </c>
      <c r="C718" t="s">
        <v>18</v>
      </c>
      <c r="D718">
        <v>37200</v>
      </c>
      <c r="E718" t="s">
        <v>3</v>
      </c>
    </row>
    <row r="719" spans="1:5" x14ac:dyDescent="0.35">
      <c r="A719" t="s">
        <v>820</v>
      </c>
      <c r="B719" t="s">
        <v>1547</v>
      </c>
      <c r="C719" t="s">
        <v>23</v>
      </c>
      <c r="D719">
        <v>167200</v>
      </c>
      <c r="E719" t="s">
        <v>3</v>
      </c>
    </row>
    <row r="720" spans="1:5" x14ac:dyDescent="0.35">
      <c r="A720" t="s">
        <v>821</v>
      </c>
      <c r="B720" t="s">
        <v>1553</v>
      </c>
      <c r="C720" t="s">
        <v>29</v>
      </c>
      <c r="D720">
        <v>8800</v>
      </c>
      <c r="E720" t="s">
        <v>3</v>
      </c>
    </row>
    <row r="721" spans="1:5" x14ac:dyDescent="0.35">
      <c r="A721" t="s">
        <v>822</v>
      </c>
      <c r="B721" t="s">
        <v>1553</v>
      </c>
      <c r="C721" t="s">
        <v>29</v>
      </c>
      <c r="D721">
        <v>78900</v>
      </c>
      <c r="E721" t="s">
        <v>3</v>
      </c>
    </row>
    <row r="722" spans="1:5" x14ac:dyDescent="0.35">
      <c r="A722" t="s">
        <v>823</v>
      </c>
      <c r="B722" t="s">
        <v>1605</v>
      </c>
      <c r="C722" t="s">
        <v>81</v>
      </c>
      <c r="D722">
        <v>0</v>
      </c>
      <c r="E722" t="s">
        <v>3</v>
      </c>
    </row>
    <row r="723" spans="1:5" x14ac:dyDescent="0.35">
      <c r="A723" t="s">
        <v>824</v>
      </c>
      <c r="B723" t="s">
        <v>1556</v>
      </c>
      <c r="C723" t="s">
        <v>32</v>
      </c>
      <c r="D723">
        <v>34900</v>
      </c>
      <c r="E723" t="s">
        <v>3</v>
      </c>
    </row>
    <row r="724" spans="1:5" x14ac:dyDescent="0.35">
      <c r="A724" t="s">
        <v>825</v>
      </c>
      <c r="B724" t="s">
        <v>1539</v>
      </c>
      <c r="C724" t="s">
        <v>15</v>
      </c>
      <c r="D724">
        <v>54300</v>
      </c>
      <c r="E724" t="s">
        <v>3</v>
      </c>
    </row>
    <row r="725" spans="1:5" x14ac:dyDescent="0.35">
      <c r="A725" t="s">
        <v>826</v>
      </c>
      <c r="B725" t="s">
        <v>1539</v>
      </c>
      <c r="C725" t="s">
        <v>15</v>
      </c>
      <c r="D725">
        <v>38800</v>
      </c>
      <c r="E725" t="s">
        <v>3</v>
      </c>
    </row>
    <row r="726" spans="1:5" x14ac:dyDescent="0.35">
      <c r="A726" t="s">
        <v>827</v>
      </c>
      <c r="B726" t="s">
        <v>1576</v>
      </c>
      <c r="C726" t="s">
        <v>52</v>
      </c>
      <c r="D726">
        <v>178000</v>
      </c>
      <c r="E726" t="s">
        <v>3</v>
      </c>
    </row>
    <row r="727" spans="1:5" x14ac:dyDescent="0.35">
      <c r="A727" t="s">
        <v>828</v>
      </c>
      <c r="B727" t="s">
        <v>1543</v>
      </c>
      <c r="C727" t="s">
        <v>19</v>
      </c>
      <c r="D727">
        <v>0</v>
      </c>
      <c r="E727" t="s">
        <v>3</v>
      </c>
    </row>
    <row r="728" spans="1:5" x14ac:dyDescent="0.35">
      <c r="A728" t="s">
        <v>829</v>
      </c>
      <c r="B728" t="s">
        <v>1540</v>
      </c>
      <c r="C728" t="s">
        <v>16</v>
      </c>
      <c r="D728">
        <v>259600</v>
      </c>
      <c r="E728" t="s">
        <v>3</v>
      </c>
    </row>
    <row r="729" spans="1:5" x14ac:dyDescent="0.35">
      <c r="A729" t="s">
        <v>830</v>
      </c>
      <c r="B729" t="s">
        <v>1606</v>
      </c>
      <c r="C729" t="s">
        <v>82</v>
      </c>
      <c r="D729">
        <v>128000</v>
      </c>
      <c r="E729" t="s">
        <v>3</v>
      </c>
    </row>
    <row r="730" spans="1:5" x14ac:dyDescent="0.35">
      <c r="A730" t="s">
        <v>831</v>
      </c>
      <c r="B730" t="s">
        <v>1542</v>
      </c>
      <c r="C730" t="s">
        <v>18</v>
      </c>
      <c r="D730">
        <v>164500</v>
      </c>
      <c r="E730" t="s">
        <v>3</v>
      </c>
    </row>
    <row r="731" spans="1:5" x14ac:dyDescent="0.35">
      <c r="A731" t="s">
        <v>832</v>
      </c>
      <c r="B731" t="s">
        <v>1584</v>
      </c>
      <c r="C731" t="s">
        <v>60</v>
      </c>
      <c r="D731">
        <v>41300</v>
      </c>
      <c r="E731" t="s">
        <v>3</v>
      </c>
    </row>
    <row r="732" spans="1:5" x14ac:dyDescent="0.35">
      <c r="A732" t="s">
        <v>833</v>
      </c>
      <c r="B732" t="s">
        <v>1553</v>
      </c>
      <c r="C732" t="s">
        <v>29</v>
      </c>
      <c r="D732">
        <v>8900</v>
      </c>
      <c r="E732" t="s">
        <v>3</v>
      </c>
    </row>
    <row r="733" spans="1:5" x14ac:dyDescent="0.35">
      <c r="A733" t="s">
        <v>834</v>
      </c>
      <c r="B733" t="s">
        <v>1558</v>
      </c>
      <c r="C733" t="s">
        <v>34</v>
      </c>
      <c r="D733">
        <v>60600</v>
      </c>
      <c r="E733" t="s">
        <v>3</v>
      </c>
    </row>
    <row r="734" spans="1:5" x14ac:dyDescent="0.35">
      <c r="A734" t="s">
        <v>835</v>
      </c>
      <c r="B734" t="s">
        <v>1551</v>
      </c>
      <c r="C734" t="s">
        <v>27</v>
      </c>
      <c r="D734">
        <v>2000</v>
      </c>
      <c r="E734" t="s">
        <v>3</v>
      </c>
    </row>
    <row r="735" spans="1:5" x14ac:dyDescent="0.35">
      <c r="A735" t="s">
        <v>836</v>
      </c>
      <c r="B735" t="s">
        <v>1547</v>
      </c>
      <c r="C735" t="s">
        <v>23</v>
      </c>
      <c r="D735">
        <v>1800</v>
      </c>
      <c r="E735" t="s">
        <v>3</v>
      </c>
    </row>
    <row r="736" spans="1:5" x14ac:dyDescent="0.35">
      <c r="A736" t="s">
        <v>837</v>
      </c>
      <c r="B736" t="s">
        <v>1540</v>
      </c>
      <c r="C736" t="s">
        <v>16</v>
      </c>
      <c r="D736">
        <v>225200</v>
      </c>
      <c r="E736" t="s">
        <v>3</v>
      </c>
    </row>
    <row r="737" spans="1:5" x14ac:dyDescent="0.35">
      <c r="A737" t="s">
        <v>838</v>
      </c>
      <c r="B737" t="s">
        <v>1542</v>
      </c>
      <c r="C737" t="s">
        <v>18</v>
      </c>
      <c r="D737">
        <v>17400</v>
      </c>
      <c r="E737" t="s">
        <v>3</v>
      </c>
    </row>
    <row r="738" spans="1:5" x14ac:dyDescent="0.35">
      <c r="A738" t="s">
        <v>839</v>
      </c>
      <c r="B738" t="s">
        <v>1576</v>
      </c>
      <c r="C738" t="s">
        <v>52</v>
      </c>
      <c r="D738">
        <v>21500</v>
      </c>
      <c r="E738" t="s">
        <v>3</v>
      </c>
    </row>
    <row r="739" spans="1:5" x14ac:dyDescent="0.35">
      <c r="A739" t="s">
        <v>840</v>
      </c>
      <c r="B739" t="s">
        <v>1568</v>
      </c>
      <c r="C739" t="s">
        <v>44</v>
      </c>
      <c r="D739">
        <v>6300</v>
      </c>
      <c r="E739" t="s">
        <v>3</v>
      </c>
    </row>
    <row r="740" spans="1:5" x14ac:dyDescent="0.35">
      <c r="A740" t="s">
        <v>841</v>
      </c>
      <c r="B740" t="s">
        <v>1585</v>
      </c>
      <c r="C740" t="s">
        <v>61</v>
      </c>
      <c r="D740">
        <v>5300</v>
      </c>
      <c r="E740" t="s">
        <v>3</v>
      </c>
    </row>
    <row r="741" spans="1:5" x14ac:dyDescent="0.35">
      <c r="A741" t="s">
        <v>842</v>
      </c>
      <c r="B741" t="s">
        <v>1569</v>
      </c>
      <c r="C741" t="s">
        <v>45</v>
      </c>
      <c r="D741">
        <v>1400</v>
      </c>
      <c r="E741" t="s">
        <v>3</v>
      </c>
    </row>
    <row r="742" spans="1:5" x14ac:dyDescent="0.35">
      <c r="A742" t="s">
        <v>843</v>
      </c>
      <c r="B742" t="s">
        <v>1540</v>
      </c>
      <c r="C742" t="s">
        <v>16</v>
      </c>
      <c r="D742">
        <v>1900</v>
      </c>
      <c r="E742" t="s">
        <v>3</v>
      </c>
    </row>
    <row r="743" spans="1:5" x14ac:dyDescent="0.35">
      <c r="A743" t="s">
        <v>844</v>
      </c>
      <c r="B743" t="s">
        <v>1550</v>
      </c>
      <c r="C743" t="s">
        <v>26</v>
      </c>
      <c r="D743">
        <v>47300</v>
      </c>
      <c r="E743" t="s">
        <v>3</v>
      </c>
    </row>
    <row r="744" spans="1:5" x14ac:dyDescent="0.35">
      <c r="A744" t="s">
        <v>845</v>
      </c>
      <c r="B744" t="s">
        <v>1583</v>
      </c>
      <c r="C744" t="s">
        <v>59</v>
      </c>
      <c r="D744">
        <v>140200</v>
      </c>
      <c r="E744" t="s">
        <v>3</v>
      </c>
    </row>
    <row r="745" spans="1:5" x14ac:dyDescent="0.35">
      <c r="A745" t="s">
        <v>846</v>
      </c>
      <c r="B745" t="s">
        <v>1538</v>
      </c>
      <c r="C745" t="s">
        <v>14</v>
      </c>
      <c r="D745">
        <v>165200</v>
      </c>
      <c r="E745" t="s">
        <v>3</v>
      </c>
    </row>
    <row r="746" spans="1:5" x14ac:dyDescent="0.35">
      <c r="A746" t="s">
        <v>847</v>
      </c>
      <c r="B746" t="s">
        <v>1583</v>
      </c>
      <c r="C746" t="s">
        <v>59</v>
      </c>
      <c r="D746">
        <v>154400</v>
      </c>
      <c r="E746" t="s">
        <v>3</v>
      </c>
    </row>
    <row r="747" spans="1:5" x14ac:dyDescent="0.35">
      <c r="A747" t="s">
        <v>848</v>
      </c>
      <c r="B747" t="s">
        <v>1583</v>
      </c>
      <c r="C747" t="s">
        <v>59</v>
      </c>
      <c r="D747">
        <v>249200</v>
      </c>
      <c r="E747" t="s">
        <v>3</v>
      </c>
    </row>
    <row r="748" spans="1:5" x14ac:dyDescent="0.35">
      <c r="A748" t="s">
        <v>849</v>
      </c>
      <c r="B748" t="s">
        <v>1538</v>
      </c>
      <c r="C748" t="s">
        <v>14</v>
      </c>
      <c r="D748">
        <v>6300</v>
      </c>
      <c r="E748" t="s">
        <v>3</v>
      </c>
    </row>
    <row r="749" spans="1:5" x14ac:dyDescent="0.35">
      <c r="A749" t="s">
        <v>850</v>
      </c>
      <c r="B749" t="s">
        <v>1534</v>
      </c>
      <c r="C749" t="s">
        <v>10</v>
      </c>
      <c r="D749">
        <v>32900</v>
      </c>
      <c r="E749" t="s">
        <v>3</v>
      </c>
    </row>
    <row r="750" spans="1:5" x14ac:dyDescent="0.35">
      <c r="A750" t="s">
        <v>851</v>
      </c>
      <c r="B750" t="s">
        <v>1568</v>
      </c>
      <c r="C750" t="s">
        <v>44</v>
      </c>
      <c r="D750">
        <v>6500</v>
      </c>
      <c r="E750" t="s">
        <v>3</v>
      </c>
    </row>
    <row r="751" spans="1:5" x14ac:dyDescent="0.35">
      <c r="A751" t="s">
        <v>852</v>
      </c>
      <c r="B751" t="s">
        <v>1594</v>
      </c>
      <c r="C751" t="s">
        <v>70</v>
      </c>
      <c r="D751">
        <v>1900</v>
      </c>
      <c r="E751" t="s">
        <v>3</v>
      </c>
    </row>
    <row r="752" spans="1:5" x14ac:dyDescent="0.35">
      <c r="A752" t="s">
        <v>853</v>
      </c>
      <c r="B752" t="s">
        <v>1542</v>
      </c>
      <c r="C752" t="s">
        <v>18</v>
      </c>
      <c r="D752">
        <v>69200</v>
      </c>
      <c r="E752" t="s">
        <v>3</v>
      </c>
    </row>
    <row r="753" spans="1:5" x14ac:dyDescent="0.35">
      <c r="A753" t="s">
        <v>854</v>
      </c>
      <c r="B753" t="s">
        <v>1542</v>
      </c>
      <c r="C753" t="s">
        <v>18</v>
      </c>
      <c r="D753">
        <v>131900</v>
      </c>
      <c r="E753" t="s">
        <v>3</v>
      </c>
    </row>
    <row r="754" spans="1:5" x14ac:dyDescent="0.35">
      <c r="A754" t="s">
        <v>855</v>
      </c>
      <c r="B754" t="s">
        <v>1542</v>
      </c>
      <c r="C754" t="s">
        <v>18</v>
      </c>
      <c r="D754">
        <v>29200</v>
      </c>
      <c r="E754" t="s">
        <v>3</v>
      </c>
    </row>
    <row r="755" spans="1:5" x14ac:dyDescent="0.35">
      <c r="A755" t="s">
        <v>856</v>
      </c>
      <c r="B755" t="s">
        <v>1555</v>
      </c>
      <c r="C755" t="s">
        <v>31</v>
      </c>
      <c r="D755">
        <v>37300</v>
      </c>
      <c r="E755" t="s">
        <v>3</v>
      </c>
    </row>
    <row r="756" spans="1:5" x14ac:dyDescent="0.35">
      <c r="A756" t="s">
        <v>857</v>
      </c>
      <c r="B756" t="s">
        <v>1539</v>
      </c>
      <c r="C756" t="s">
        <v>15</v>
      </c>
      <c r="D756">
        <v>109700</v>
      </c>
      <c r="E756" t="s">
        <v>3</v>
      </c>
    </row>
    <row r="757" spans="1:5" x14ac:dyDescent="0.35">
      <c r="A757" t="s">
        <v>858</v>
      </c>
      <c r="B757" t="s">
        <v>1539</v>
      </c>
      <c r="C757" t="s">
        <v>15</v>
      </c>
      <c r="D757">
        <v>45900</v>
      </c>
      <c r="E757" t="s">
        <v>3</v>
      </c>
    </row>
    <row r="758" spans="1:5" x14ac:dyDescent="0.35">
      <c r="A758" t="s">
        <v>859</v>
      </c>
      <c r="B758" t="s">
        <v>1552</v>
      </c>
      <c r="C758" t="s">
        <v>28</v>
      </c>
      <c r="D758">
        <v>51700</v>
      </c>
      <c r="E758" t="s">
        <v>3</v>
      </c>
    </row>
    <row r="759" spans="1:5" x14ac:dyDescent="0.35">
      <c r="A759" t="s">
        <v>860</v>
      </c>
      <c r="B759" t="s">
        <v>1540</v>
      </c>
      <c r="C759" t="s">
        <v>16</v>
      </c>
      <c r="D759">
        <v>239100</v>
      </c>
      <c r="E759" t="s">
        <v>3</v>
      </c>
    </row>
    <row r="760" spans="1:5" x14ac:dyDescent="0.35">
      <c r="A760" t="s">
        <v>861</v>
      </c>
      <c r="B760" t="s">
        <v>1558</v>
      </c>
      <c r="C760" t="s">
        <v>34</v>
      </c>
      <c r="D760">
        <v>179500</v>
      </c>
      <c r="E760" t="s">
        <v>3</v>
      </c>
    </row>
    <row r="761" spans="1:5" x14ac:dyDescent="0.35">
      <c r="A761" t="s">
        <v>862</v>
      </c>
      <c r="B761" t="s">
        <v>1541</v>
      </c>
      <c r="C761" t="s">
        <v>17</v>
      </c>
      <c r="D761">
        <v>294700</v>
      </c>
      <c r="E761" t="s">
        <v>3</v>
      </c>
    </row>
    <row r="762" spans="1:5" x14ac:dyDescent="0.35">
      <c r="A762" t="s">
        <v>863</v>
      </c>
      <c r="B762" t="s">
        <v>1603</v>
      </c>
      <c r="C762" t="s">
        <v>79</v>
      </c>
      <c r="D762">
        <v>109400</v>
      </c>
      <c r="E762" t="s">
        <v>3</v>
      </c>
    </row>
    <row r="763" spans="1:5" x14ac:dyDescent="0.35">
      <c r="A763" t="s">
        <v>864</v>
      </c>
      <c r="B763" t="s">
        <v>1542</v>
      </c>
      <c r="C763" t="s">
        <v>18</v>
      </c>
      <c r="D763">
        <v>39200</v>
      </c>
      <c r="E763" t="s">
        <v>3</v>
      </c>
    </row>
    <row r="764" spans="1:5" x14ac:dyDescent="0.35">
      <c r="A764" t="s">
        <v>865</v>
      </c>
      <c r="B764" t="s">
        <v>1565</v>
      </c>
      <c r="C764" t="s">
        <v>41</v>
      </c>
      <c r="D764">
        <v>89300</v>
      </c>
      <c r="E764" t="s">
        <v>3</v>
      </c>
    </row>
    <row r="765" spans="1:5" x14ac:dyDescent="0.35">
      <c r="A765" t="s">
        <v>866</v>
      </c>
      <c r="B765" t="s">
        <v>1542</v>
      </c>
      <c r="C765" t="s">
        <v>18</v>
      </c>
      <c r="D765">
        <v>100100</v>
      </c>
      <c r="E765" t="s">
        <v>3</v>
      </c>
    </row>
    <row r="766" spans="1:5" x14ac:dyDescent="0.35">
      <c r="A766" t="s">
        <v>867</v>
      </c>
      <c r="B766" t="s">
        <v>1538</v>
      </c>
      <c r="C766" t="s">
        <v>14</v>
      </c>
      <c r="D766">
        <v>150900</v>
      </c>
      <c r="E766" t="s">
        <v>3</v>
      </c>
    </row>
    <row r="767" spans="1:5" x14ac:dyDescent="0.35">
      <c r="A767" t="s">
        <v>868</v>
      </c>
      <c r="B767" t="s">
        <v>1545</v>
      </c>
      <c r="C767" t="s">
        <v>21</v>
      </c>
      <c r="D767">
        <v>45000</v>
      </c>
      <c r="E767" t="s">
        <v>3</v>
      </c>
    </row>
    <row r="768" spans="1:5" x14ac:dyDescent="0.35">
      <c r="A768" t="s">
        <v>869</v>
      </c>
      <c r="B768" t="s">
        <v>1569</v>
      </c>
      <c r="C768" t="s">
        <v>45</v>
      </c>
      <c r="D768">
        <v>143700</v>
      </c>
      <c r="E768" t="s">
        <v>3</v>
      </c>
    </row>
    <row r="769" spans="1:5" x14ac:dyDescent="0.35">
      <c r="A769" t="s">
        <v>870</v>
      </c>
      <c r="B769" t="s">
        <v>1587</v>
      </c>
      <c r="C769" t="s">
        <v>63</v>
      </c>
      <c r="D769">
        <v>69100</v>
      </c>
      <c r="E769" t="s">
        <v>3</v>
      </c>
    </row>
    <row r="770" spans="1:5" x14ac:dyDescent="0.35">
      <c r="A770" t="s">
        <v>871</v>
      </c>
      <c r="B770" t="s">
        <v>1569</v>
      </c>
      <c r="C770" t="s">
        <v>45</v>
      </c>
      <c r="D770">
        <v>45600</v>
      </c>
      <c r="E770" t="s">
        <v>3</v>
      </c>
    </row>
    <row r="771" spans="1:5" x14ac:dyDescent="0.35">
      <c r="A771" t="s">
        <v>872</v>
      </c>
      <c r="B771" t="s">
        <v>1534</v>
      </c>
      <c r="C771" t="s">
        <v>10</v>
      </c>
      <c r="D771">
        <v>104500</v>
      </c>
      <c r="E771" t="s">
        <v>3</v>
      </c>
    </row>
    <row r="772" spans="1:5" x14ac:dyDescent="0.35">
      <c r="A772" t="s">
        <v>873</v>
      </c>
      <c r="B772" t="s">
        <v>1534</v>
      </c>
      <c r="C772" t="s">
        <v>10</v>
      </c>
      <c r="D772">
        <v>82200</v>
      </c>
      <c r="E772" t="s">
        <v>3</v>
      </c>
    </row>
    <row r="773" spans="1:5" x14ac:dyDescent="0.35">
      <c r="A773" t="s">
        <v>874</v>
      </c>
      <c r="B773" t="s">
        <v>1543</v>
      </c>
      <c r="C773" t="s">
        <v>19</v>
      </c>
      <c r="D773">
        <v>43500</v>
      </c>
      <c r="E773" t="s">
        <v>3</v>
      </c>
    </row>
    <row r="774" spans="1:5" x14ac:dyDescent="0.35">
      <c r="A774" t="s">
        <v>875</v>
      </c>
      <c r="B774" t="s">
        <v>1598</v>
      </c>
      <c r="C774" t="s">
        <v>74</v>
      </c>
      <c r="D774">
        <v>87800</v>
      </c>
      <c r="E774" t="s">
        <v>3</v>
      </c>
    </row>
    <row r="775" spans="1:5" x14ac:dyDescent="0.35">
      <c r="A775" t="s">
        <v>876</v>
      </c>
      <c r="B775" t="s">
        <v>1538</v>
      </c>
      <c r="C775" t="s">
        <v>14</v>
      </c>
      <c r="D775">
        <v>128500</v>
      </c>
      <c r="E775" t="s">
        <v>3</v>
      </c>
    </row>
    <row r="776" spans="1:5" x14ac:dyDescent="0.35">
      <c r="A776" t="s">
        <v>877</v>
      </c>
      <c r="B776" t="s">
        <v>1540</v>
      </c>
      <c r="C776" t="s">
        <v>16</v>
      </c>
      <c r="D776">
        <v>296000</v>
      </c>
      <c r="E776" t="s">
        <v>3</v>
      </c>
    </row>
    <row r="777" spans="1:5" x14ac:dyDescent="0.35">
      <c r="A777" t="s">
        <v>878</v>
      </c>
      <c r="B777" t="s">
        <v>1539</v>
      </c>
      <c r="C777" t="s">
        <v>15</v>
      </c>
      <c r="D777">
        <v>40100</v>
      </c>
      <c r="E777" t="s">
        <v>3</v>
      </c>
    </row>
    <row r="778" spans="1:5" x14ac:dyDescent="0.35">
      <c r="A778" t="s">
        <v>879</v>
      </c>
      <c r="B778" t="s">
        <v>1540</v>
      </c>
      <c r="C778" t="s">
        <v>16</v>
      </c>
      <c r="D778">
        <v>177200</v>
      </c>
      <c r="E778" t="s">
        <v>3</v>
      </c>
    </row>
    <row r="779" spans="1:5" x14ac:dyDescent="0.35">
      <c r="A779" t="s">
        <v>880</v>
      </c>
      <c r="B779" t="s">
        <v>1551</v>
      </c>
      <c r="C779" t="s">
        <v>27</v>
      </c>
      <c r="D779">
        <v>52500</v>
      </c>
      <c r="E779" t="s">
        <v>3</v>
      </c>
    </row>
    <row r="780" spans="1:5" x14ac:dyDescent="0.35">
      <c r="A780" t="s">
        <v>881</v>
      </c>
      <c r="B780" t="s">
        <v>1539</v>
      </c>
      <c r="C780" t="s">
        <v>15</v>
      </c>
      <c r="D780">
        <v>49500</v>
      </c>
      <c r="E780" t="s">
        <v>3</v>
      </c>
    </row>
    <row r="781" spans="1:5" x14ac:dyDescent="0.35">
      <c r="A781" t="s">
        <v>882</v>
      </c>
      <c r="B781" t="s">
        <v>1553</v>
      </c>
      <c r="C781" t="s">
        <v>29</v>
      </c>
      <c r="D781">
        <v>119800</v>
      </c>
      <c r="E781" t="s">
        <v>3</v>
      </c>
    </row>
    <row r="782" spans="1:5" x14ac:dyDescent="0.35">
      <c r="A782" t="s">
        <v>883</v>
      </c>
      <c r="B782" t="s">
        <v>1607</v>
      </c>
      <c r="C782" t="s">
        <v>83</v>
      </c>
      <c r="D782">
        <v>217200</v>
      </c>
      <c r="E782" t="s">
        <v>3</v>
      </c>
    </row>
    <row r="783" spans="1:5" x14ac:dyDescent="0.35">
      <c r="A783" t="s">
        <v>884</v>
      </c>
      <c r="B783" t="s">
        <v>1551</v>
      </c>
      <c r="C783" t="s">
        <v>27</v>
      </c>
      <c r="D783">
        <v>57200</v>
      </c>
      <c r="E783" t="s">
        <v>3</v>
      </c>
    </row>
    <row r="784" spans="1:5" x14ac:dyDescent="0.35">
      <c r="A784" t="s">
        <v>885</v>
      </c>
      <c r="B784" t="s">
        <v>1539</v>
      </c>
      <c r="C784" t="s">
        <v>15</v>
      </c>
      <c r="D784">
        <v>56700</v>
      </c>
      <c r="E784" t="s">
        <v>3</v>
      </c>
    </row>
    <row r="785" spans="1:5" x14ac:dyDescent="0.35">
      <c r="A785" t="s">
        <v>886</v>
      </c>
      <c r="B785" t="s">
        <v>1594</v>
      </c>
      <c r="C785" t="s">
        <v>70</v>
      </c>
      <c r="D785">
        <v>68900</v>
      </c>
      <c r="E785" t="s">
        <v>3</v>
      </c>
    </row>
    <row r="786" spans="1:5" x14ac:dyDescent="0.35">
      <c r="A786" t="s">
        <v>887</v>
      </c>
      <c r="B786" t="s">
        <v>1543</v>
      </c>
      <c r="C786" t="s">
        <v>19</v>
      </c>
      <c r="D786">
        <v>265100</v>
      </c>
      <c r="E786" t="s">
        <v>3</v>
      </c>
    </row>
    <row r="787" spans="1:5" x14ac:dyDescent="0.35">
      <c r="A787" t="s">
        <v>888</v>
      </c>
      <c r="B787" t="s">
        <v>1536</v>
      </c>
      <c r="C787" t="s">
        <v>12</v>
      </c>
      <c r="D787">
        <v>38500</v>
      </c>
      <c r="E787" t="s">
        <v>3</v>
      </c>
    </row>
    <row r="788" spans="1:5" x14ac:dyDescent="0.35">
      <c r="A788" t="s">
        <v>889</v>
      </c>
      <c r="B788" t="s">
        <v>1542</v>
      </c>
      <c r="C788" t="s">
        <v>18</v>
      </c>
      <c r="D788">
        <v>55400</v>
      </c>
      <c r="E788" t="s">
        <v>3</v>
      </c>
    </row>
    <row r="789" spans="1:5" x14ac:dyDescent="0.35">
      <c r="A789" t="s">
        <v>890</v>
      </c>
      <c r="B789" t="s">
        <v>1542</v>
      </c>
      <c r="C789" t="s">
        <v>18</v>
      </c>
      <c r="D789">
        <v>68800</v>
      </c>
      <c r="E789" t="s">
        <v>3</v>
      </c>
    </row>
    <row r="790" spans="1:5" x14ac:dyDescent="0.35">
      <c r="A790" t="s">
        <v>891</v>
      </c>
      <c r="B790" t="s">
        <v>1542</v>
      </c>
      <c r="C790" t="s">
        <v>18</v>
      </c>
      <c r="D790">
        <v>111500</v>
      </c>
      <c r="E790" t="s">
        <v>3</v>
      </c>
    </row>
    <row r="791" spans="1:5" x14ac:dyDescent="0.35">
      <c r="A791" t="s">
        <v>892</v>
      </c>
      <c r="B791" t="s">
        <v>1553</v>
      </c>
      <c r="C791" t="s">
        <v>29</v>
      </c>
      <c r="D791">
        <v>103700</v>
      </c>
      <c r="E791" t="s">
        <v>3</v>
      </c>
    </row>
    <row r="792" spans="1:5" x14ac:dyDescent="0.35">
      <c r="A792" t="s">
        <v>893</v>
      </c>
      <c r="B792" t="s">
        <v>1544</v>
      </c>
      <c r="C792" t="s">
        <v>20</v>
      </c>
      <c r="D792">
        <v>0</v>
      </c>
      <c r="E792" t="s">
        <v>3</v>
      </c>
    </row>
    <row r="793" spans="1:5" x14ac:dyDescent="0.35">
      <c r="A793" t="s">
        <v>894</v>
      </c>
      <c r="B793" t="s">
        <v>1551</v>
      </c>
      <c r="C793" t="s">
        <v>27</v>
      </c>
      <c r="D793">
        <v>65100</v>
      </c>
      <c r="E793" t="s">
        <v>3</v>
      </c>
    </row>
    <row r="794" spans="1:5" x14ac:dyDescent="0.35">
      <c r="A794" t="s">
        <v>895</v>
      </c>
      <c r="B794" t="s">
        <v>1562</v>
      </c>
      <c r="C794" t="s">
        <v>38</v>
      </c>
      <c r="D794">
        <v>198300</v>
      </c>
      <c r="E794" t="s">
        <v>3</v>
      </c>
    </row>
    <row r="795" spans="1:5" x14ac:dyDescent="0.35">
      <c r="A795" t="s">
        <v>896</v>
      </c>
      <c r="B795" t="s">
        <v>1534</v>
      </c>
      <c r="C795" t="s">
        <v>10</v>
      </c>
      <c r="D795">
        <v>52800</v>
      </c>
      <c r="E795" t="s">
        <v>3</v>
      </c>
    </row>
    <row r="796" spans="1:5" x14ac:dyDescent="0.35">
      <c r="A796" t="s">
        <v>897</v>
      </c>
      <c r="B796" t="s">
        <v>1534</v>
      </c>
      <c r="C796" t="s">
        <v>10</v>
      </c>
      <c r="D796">
        <v>65400</v>
      </c>
      <c r="E796" t="s">
        <v>3</v>
      </c>
    </row>
    <row r="797" spans="1:5" x14ac:dyDescent="0.35">
      <c r="A797" t="s">
        <v>898</v>
      </c>
      <c r="B797" t="s">
        <v>1534</v>
      </c>
      <c r="C797" t="s">
        <v>10</v>
      </c>
      <c r="D797">
        <v>59700</v>
      </c>
      <c r="E797" t="s">
        <v>3</v>
      </c>
    </row>
    <row r="798" spans="1:5" x14ac:dyDescent="0.35">
      <c r="A798" t="s">
        <v>899</v>
      </c>
      <c r="B798" t="s">
        <v>1557</v>
      </c>
      <c r="C798" t="s">
        <v>33</v>
      </c>
      <c r="D798">
        <v>61500</v>
      </c>
      <c r="E798" t="s">
        <v>3</v>
      </c>
    </row>
    <row r="799" spans="1:5" x14ac:dyDescent="0.35">
      <c r="A799" t="s">
        <v>900</v>
      </c>
      <c r="B799" t="s">
        <v>1560</v>
      </c>
      <c r="C799" t="s">
        <v>36</v>
      </c>
      <c r="D799">
        <v>42300</v>
      </c>
      <c r="E799" t="s">
        <v>3</v>
      </c>
    </row>
    <row r="800" spans="1:5" x14ac:dyDescent="0.35">
      <c r="A800" t="s">
        <v>901</v>
      </c>
      <c r="B800" t="s">
        <v>1560</v>
      </c>
      <c r="C800" t="s">
        <v>36</v>
      </c>
      <c r="D800">
        <v>51400</v>
      </c>
      <c r="E800" t="s">
        <v>3</v>
      </c>
    </row>
    <row r="801" spans="1:5" x14ac:dyDescent="0.35">
      <c r="A801" t="s">
        <v>902</v>
      </c>
      <c r="B801" t="s">
        <v>1584</v>
      </c>
      <c r="C801" t="s">
        <v>60</v>
      </c>
      <c r="D801">
        <v>33900</v>
      </c>
      <c r="E801" t="s">
        <v>3</v>
      </c>
    </row>
    <row r="802" spans="1:5" x14ac:dyDescent="0.35">
      <c r="A802" t="s">
        <v>903</v>
      </c>
      <c r="B802" t="s">
        <v>1534</v>
      </c>
      <c r="C802" t="s">
        <v>10</v>
      </c>
      <c r="D802">
        <v>118200</v>
      </c>
      <c r="E802" t="s">
        <v>3</v>
      </c>
    </row>
    <row r="803" spans="1:5" x14ac:dyDescent="0.35">
      <c r="A803" t="s">
        <v>904</v>
      </c>
      <c r="B803" t="s">
        <v>1534</v>
      </c>
      <c r="C803" t="s">
        <v>10</v>
      </c>
      <c r="D803">
        <v>136200</v>
      </c>
      <c r="E803" t="s">
        <v>3</v>
      </c>
    </row>
    <row r="804" spans="1:5" x14ac:dyDescent="0.35">
      <c r="A804" t="s">
        <v>905</v>
      </c>
      <c r="B804" t="s">
        <v>1540</v>
      </c>
      <c r="C804" t="s">
        <v>16</v>
      </c>
      <c r="D804">
        <v>283800</v>
      </c>
      <c r="E804" t="s">
        <v>3</v>
      </c>
    </row>
    <row r="805" spans="1:5" x14ac:dyDescent="0.35">
      <c r="A805" t="s">
        <v>906</v>
      </c>
      <c r="B805" t="s">
        <v>1538</v>
      </c>
      <c r="C805" t="s">
        <v>14</v>
      </c>
      <c r="D805">
        <v>63400</v>
      </c>
      <c r="E805" t="s">
        <v>3</v>
      </c>
    </row>
    <row r="806" spans="1:5" x14ac:dyDescent="0.35">
      <c r="A806" t="s">
        <v>907</v>
      </c>
      <c r="B806" t="s">
        <v>1538</v>
      </c>
      <c r="C806" t="s">
        <v>14</v>
      </c>
      <c r="D806">
        <v>54000</v>
      </c>
      <c r="E806" t="s">
        <v>3</v>
      </c>
    </row>
    <row r="807" spans="1:5" x14ac:dyDescent="0.35">
      <c r="A807" t="s">
        <v>908</v>
      </c>
      <c r="B807" t="s">
        <v>1538</v>
      </c>
      <c r="C807" t="s">
        <v>14</v>
      </c>
      <c r="D807">
        <v>199000</v>
      </c>
      <c r="E807" t="s">
        <v>3</v>
      </c>
    </row>
    <row r="808" spans="1:5" x14ac:dyDescent="0.35">
      <c r="A808" t="s">
        <v>909</v>
      </c>
      <c r="B808" t="s">
        <v>1538</v>
      </c>
      <c r="C808" t="s">
        <v>14</v>
      </c>
      <c r="D808">
        <v>186200</v>
      </c>
      <c r="E808" t="s">
        <v>3</v>
      </c>
    </row>
    <row r="809" spans="1:5" x14ac:dyDescent="0.35">
      <c r="A809" t="s">
        <v>910</v>
      </c>
      <c r="B809" t="s">
        <v>1546</v>
      </c>
      <c r="C809" t="s">
        <v>22</v>
      </c>
      <c r="D809">
        <v>1987800</v>
      </c>
      <c r="E809" t="s">
        <v>3</v>
      </c>
    </row>
    <row r="810" spans="1:5" x14ac:dyDescent="0.35">
      <c r="A810" t="s">
        <v>911</v>
      </c>
      <c r="B810" t="s">
        <v>1560</v>
      </c>
      <c r="C810" t="s">
        <v>36</v>
      </c>
      <c r="D810">
        <v>112100</v>
      </c>
      <c r="E810" t="s">
        <v>3</v>
      </c>
    </row>
    <row r="811" spans="1:5" x14ac:dyDescent="0.35">
      <c r="A811" t="s">
        <v>912</v>
      </c>
      <c r="B811" t="s">
        <v>1540</v>
      </c>
      <c r="C811" t="s">
        <v>16</v>
      </c>
      <c r="D811">
        <v>190200</v>
      </c>
      <c r="E811" t="s">
        <v>3</v>
      </c>
    </row>
    <row r="812" spans="1:5" x14ac:dyDescent="0.35">
      <c r="A812" t="s">
        <v>913</v>
      </c>
      <c r="B812" t="s">
        <v>1540</v>
      </c>
      <c r="C812" t="s">
        <v>16</v>
      </c>
      <c r="D812">
        <v>224300</v>
      </c>
      <c r="E812" t="s">
        <v>3</v>
      </c>
    </row>
    <row r="813" spans="1:5" x14ac:dyDescent="0.35">
      <c r="A813" t="s">
        <v>914</v>
      </c>
      <c r="B813" t="s">
        <v>1540</v>
      </c>
      <c r="C813" t="s">
        <v>16</v>
      </c>
      <c r="D813">
        <v>216700</v>
      </c>
      <c r="E813" t="s">
        <v>3</v>
      </c>
    </row>
    <row r="814" spans="1:5" x14ac:dyDescent="0.35">
      <c r="A814" t="s">
        <v>915</v>
      </c>
      <c r="B814" t="s">
        <v>1540</v>
      </c>
      <c r="C814" t="s">
        <v>16</v>
      </c>
      <c r="D814">
        <v>270600</v>
      </c>
      <c r="E814" t="s">
        <v>3</v>
      </c>
    </row>
    <row r="815" spans="1:5" x14ac:dyDescent="0.35">
      <c r="A815" t="s">
        <v>916</v>
      </c>
      <c r="B815" t="s">
        <v>1603</v>
      </c>
      <c r="C815" t="s">
        <v>79</v>
      </c>
      <c r="D815">
        <v>241600</v>
      </c>
      <c r="E815" t="s">
        <v>3</v>
      </c>
    </row>
    <row r="816" spans="1:5" x14ac:dyDescent="0.35">
      <c r="A816" t="s">
        <v>917</v>
      </c>
      <c r="B816" t="s">
        <v>1548</v>
      </c>
      <c r="C816" t="s">
        <v>24</v>
      </c>
      <c r="D816">
        <v>202800</v>
      </c>
      <c r="E816" t="s">
        <v>3</v>
      </c>
    </row>
    <row r="817" spans="1:5" x14ac:dyDescent="0.35">
      <c r="A817" t="s">
        <v>918</v>
      </c>
      <c r="B817" t="s">
        <v>1562</v>
      </c>
      <c r="C817" t="s">
        <v>38</v>
      </c>
      <c r="D817">
        <v>250100</v>
      </c>
      <c r="E817" t="s">
        <v>3</v>
      </c>
    </row>
    <row r="818" spans="1:5" x14ac:dyDescent="0.35">
      <c r="A818" t="s">
        <v>919</v>
      </c>
      <c r="B818" t="s">
        <v>1591</v>
      </c>
      <c r="C818" t="s">
        <v>67</v>
      </c>
      <c r="D818">
        <v>92000</v>
      </c>
      <c r="E818" t="s">
        <v>3</v>
      </c>
    </row>
    <row r="819" spans="1:5" x14ac:dyDescent="0.35">
      <c r="A819" t="s">
        <v>920</v>
      </c>
      <c r="B819" t="s">
        <v>1591</v>
      </c>
      <c r="C819" t="s">
        <v>67</v>
      </c>
      <c r="D819">
        <v>119200</v>
      </c>
      <c r="E819" t="s">
        <v>3</v>
      </c>
    </row>
    <row r="820" spans="1:5" x14ac:dyDescent="0.35">
      <c r="A820" t="s">
        <v>921</v>
      </c>
      <c r="B820" t="s">
        <v>1542</v>
      </c>
      <c r="C820" t="s">
        <v>18</v>
      </c>
      <c r="D820">
        <v>141600</v>
      </c>
      <c r="E820" t="s">
        <v>3</v>
      </c>
    </row>
    <row r="821" spans="1:5" x14ac:dyDescent="0.35">
      <c r="A821" t="s">
        <v>922</v>
      </c>
      <c r="B821" t="s">
        <v>1551</v>
      </c>
      <c r="C821" t="s">
        <v>27</v>
      </c>
      <c r="D821">
        <v>58500</v>
      </c>
      <c r="E821" t="s">
        <v>3</v>
      </c>
    </row>
    <row r="822" spans="1:5" x14ac:dyDescent="0.35">
      <c r="A822" t="s">
        <v>923</v>
      </c>
      <c r="B822" t="s">
        <v>1538</v>
      </c>
      <c r="C822" t="s">
        <v>14</v>
      </c>
      <c r="D822">
        <v>170600</v>
      </c>
      <c r="E822" t="s">
        <v>3</v>
      </c>
    </row>
    <row r="823" spans="1:5" x14ac:dyDescent="0.35">
      <c r="A823" t="s">
        <v>924</v>
      </c>
      <c r="B823" t="s">
        <v>1603</v>
      </c>
      <c r="C823" t="s">
        <v>79</v>
      </c>
      <c r="D823">
        <v>182700</v>
      </c>
      <c r="E823" t="s">
        <v>3</v>
      </c>
    </row>
    <row r="824" spans="1:5" x14ac:dyDescent="0.35">
      <c r="A824" t="s">
        <v>925</v>
      </c>
      <c r="B824" t="s">
        <v>1608</v>
      </c>
      <c r="C824" t="s">
        <v>84</v>
      </c>
      <c r="D824">
        <v>47200</v>
      </c>
      <c r="E824" t="s">
        <v>3</v>
      </c>
    </row>
    <row r="825" spans="1:5" x14ac:dyDescent="0.35">
      <c r="A825" t="s">
        <v>926</v>
      </c>
      <c r="B825" t="s">
        <v>1553</v>
      </c>
      <c r="C825" t="s">
        <v>29</v>
      </c>
      <c r="D825">
        <v>90000</v>
      </c>
      <c r="E825" t="s">
        <v>3</v>
      </c>
    </row>
    <row r="826" spans="1:5" x14ac:dyDescent="0.35">
      <c r="A826" t="s">
        <v>927</v>
      </c>
      <c r="B826" t="s">
        <v>1540</v>
      </c>
      <c r="C826" t="s">
        <v>16</v>
      </c>
      <c r="D826">
        <v>49600</v>
      </c>
      <c r="E826" t="s">
        <v>3</v>
      </c>
    </row>
    <row r="827" spans="1:5" x14ac:dyDescent="0.35">
      <c r="A827" t="s">
        <v>928</v>
      </c>
      <c r="B827" t="s">
        <v>1569</v>
      </c>
      <c r="C827" t="s">
        <v>45</v>
      </c>
      <c r="D827">
        <v>49600</v>
      </c>
      <c r="E827" t="s">
        <v>3</v>
      </c>
    </row>
    <row r="828" spans="1:5" x14ac:dyDescent="0.35">
      <c r="A828" t="s">
        <v>929</v>
      </c>
      <c r="B828" t="s">
        <v>1538</v>
      </c>
      <c r="C828" t="s">
        <v>14</v>
      </c>
      <c r="D828">
        <v>145900</v>
      </c>
      <c r="E828" t="s">
        <v>3</v>
      </c>
    </row>
    <row r="829" spans="1:5" x14ac:dyDescent="0.35">
      <c r="A829" t="s">
        <v>930</v>
      </c>
      <c r="B829" t="s">
        <v>1563</v>
      </c>
      <c r="C829" t="s">
        <v>39</v>
      </c>
      <c r="D829">
        <v>206100</v>
      </c>
      <c r="E829" t="s">
        <v>3</v>
      </c>
    </row>
    <row r="830" spans="1:5" x14ac:dyDescent="0.35">
      <c r="A830" t="s">
        <v>931</v>
      </c>
      <c r="B830" t="s">
        <v>1539</v>
      </c>
      <c r="C830" t="s">
        <v>15</v>
      </c>
      <c r="D830">
        <v>42900</v>
      </c>
      <c r="E830" t="s">
        <v>3</v>
      </c>
    </row>
    <row r="831" spans="1:5" x14ac:dyDescent="0.35">
      <c r="A831" t="s">
        <v>932</v>
      </c>
      <c r="B831" t="s">
        <v>1538</v>
      </c>
      <c r="C831" t="s">
        <v>14</v>
      </c>
      <c r="D831">
        <v>178600</v>
      </c>
      <c r="E831" t="s">
        <v>3</v>
      </c>
    </row>
    <row r="832" spans="1:5" x14ac:dyDescent="0.35">
      <c r="A832" t="s">
        <v>933</v>
      </c>
      <c r="B832" t="s">
        <v>1547</v>
      </c>
      <c r="C832" t="s">
        <v>23</v>
      </c>
      <c r="D832">
        <v>55600</v>
      </c>
      <c r="E832" t="s">
        <v>3</v>
      </c>
    </row>
    <row r="833" spans="1:5" x14ac:dyDescent="0.35">
      <c r="A833" t="s">
        <v>934</v>
      </c>
      <c r="B833" t="s">
        <v>1555</v>
      </c>
      <c r="C833" t="s">
        <v>31</v>
      </c>
      <c r="D833">
        <v>18600</v>
      </c>
      <c r="E833" t="s">
        <v>3</v>
      </c>
    </row>
    <row r="834" spans="1:5" x14ac:dyDescent="0.35">
      <c r="A834" t="s">
        <v>935</v>
      </c>
      <c r="B834" t="s">
        <v>1553</v>
      </c>
      <c r="C834" t="s">
        <v>29</v>
      </c>
      <c r="D834">
        <v>115100</v>
      </c>
      <c r="E834" t="s">
        <v>3</v>
      </c>
    </row>
    <row r="835" spans="1:5" x14ac:dyDescent="0.35">
      <c r="A835" t="s">
        <v>936</v>
      </c>
      <c r="B835" t="s">
        <v>1538</v>
      </c>
      <c r="C835" t="s">
        <v>14</v>
      </c>
      <c r="D835">
        <v>67800</v>
      </c>
      <c r="E835" t="s">
        <v>3</v>
      </c>
    </row>
    <row r="836" spans="1:5" x14ac:dyDescent="0.35">
      <c r="A836" t="s">
        <v>937</v>
      </c>
      <c r="B836" t="s">
        <v>1541</v>
      </c>
      <c r="C836" t="s">
        <v>17</v>
      </c>
      <c r="D836">
        <v>229600</v>
      </c>
      <c r="E836" t="s">
        <v>3</v>
      </c>
    </row>
    <row r="837" spans="1:5" x14ac:dyDescent="0.35">
      <c r="A837" t="s">
        <v>938</v>
      </c>
      <c r="B837" t="s">
        <v>1540</v>
      </c>
      <c r="C837" t="s">
        <v>16</v>
      </c>
      <c r="D837">
        <v>42200</v>
      </c>
      <c r="E837" t="s">
        <v>3</v>
      </c>
    </row>
    <row r="838" spans="1:5" x14ac:dyDescent="0.35">
      <c r="A838" t="s">
        <v>939</v>
      </c>
      <c r="B838" t="s">
        <v>1540</v>
      </c>
      <c r="C838" t="s">
        <v>16</v>
      </c>
      <c r="D838">
        <v>57300</v>
      </c>
      <c r="E838" t="s">
        <v>3</v>
      </c>
    </row>
    <row r="839" spans="1:5" x14ac:dyDescent="0.35">
      <c r="A839" t="s">
        <v>940</v>
      </c>
      <c r="B839" t="s">
        <v>1547</v>
      </c>
      <c r="C839" t="s">
        <v>23</v>
      </c>
      <c r="D839">
        <v>43200</v>
      </c>
      <c r="E839" t="s">
        <v>3</v>
      </c>
    </row>
    <row r="840" spans="1:5" x14ac:dyDescent="0.35">
      <c r="A840" t="s">
        <v>941</v>
      </c>
      <c r="B840" t="s">
        <v>1551</v>
      </c>
      <c r="C840" t="s">
        <v>27</v>
      </c>
      <c r="D840">
        <v>31700</v>
      </c>
      <c r="E840" t="s">
        <v>3</v>
      </c>
    </row>
    <row r="841" spans="1:5" x14ac:dyDescent="0.35">
      <c r="A841" t="s">
        <v>942</v>
      </c>
      <c r="B841" t="s">
        <v>1543</v>
      </c>
      <c r="C841" t="s">
        <v>19</v>
      </c>
      <c r="D841">
        <v>232200</v>
      </c>
      <c r="E841" t="s">
        <v>3</v>
      </c>
    </row>
    <row r="842" spans="1:5" x14ac:dyDescent="0.35">
      <c r="A842" t="s">
        <v>943</v>
      </c>
      <c r="B842" t="s">
        <v>1539</v>
      </c>
      <c r="C842" t="s">
        <v>15</v>
      </c>
      <c r="D842">
        <v>47300</v>
      </c>
      <c r="E842" t="s">
        <v>3</v>
      </c>
    </row>
    <row r="843" spans="1:5" x14ac:dyDescent="0.35">
      <c r="A843" t="s">
        <v>944</v>
      </c>
      <c r="B843" t="s">
        <v>1542</v>
      </c>
      <c r="C843" t="s">
        <v>18</v>
      </c>
      <c r="D843">
        <v>221100</v>
      </c>
      <c r="E843" t="s">
        <v>3</v>
      </c>
    </row>
    <row r="844" spans="1:5" x14ac:dyDescent="0.35">
      <c r="A844" t="s">
        <v>945</v>
      </c>
      <c r="B844" t="s">
        <v>1538</v>
      </c>
      <c r="C844" t="s">
        <v>14</v>
      </c>
      <c r="D844">
        <v>49700</v>
      </c>
      <c r="E844" t="s">
        <v>3</v>
      </c>
    </row>
    <row r="845" spans="1:5" x14ac:dyDescent="0.35">
      <c r="A845" t="s">
        <v>946</v>
      </c>
      <c r="B845" t="s">
        <v>1538</v>
      </c>
      <c r="C845" t="s">
        <v>14</v>
      </c>
      <c r="D845">
        <v>52800</v>
      </c>
      <c r="E845" t="s">
        <v>3</v>
      </c>
    </row>
    <row r="846" spans="1:5" x14ac:dyDescent="0.35">
      <c r="A846" t="s">
        <v>947</v>
      </c>
      <c r="B846" t="s">
        <v>1538</v>
      </c>
      <c r="C846" t="s">
        <v>14</v>
      </c>
      <c r="D846">
        <v>49700</v>
      </c>
      <c r="E846" t="s">
        <v>3</v>
      </c>
    </row>
    <row r="847" spans="1:5" x14ac:dyDescent="0.35">
      <c r="A847" t="s">
        <v>948</v>
      </c>
      <c r="B847" t="s">
        <v>1609</v>
      </c>
      <c r="C847" t="s">
        <v>85</v>
      </c>
      <c r="D847">
        <v>53700</v>
      </c>
      <c r="E847" t="s">
        <v>3</v>
      </c>
    </row>
    <row r="848" spans="1:5" x14ac:dyDescent="0.35">
      <c r="A848" t="s">
        <v>949</v>
      </c>
      <c r="B848" t="s">
        <v>1543</v>
      </c>
      <c r="C848" t="s">
        <v>19</v>
      </c>
      <c r="D848">
        <v>122400</v>
      </c>
      <c r="E848" t="s">
        <v>3</v>
      </c>
    </row>
    <row r="849" spans="1:5" x14ac:dyDescent="0.35">
      <c r="A849" t="s">
        <v>950</v>
      </c>
      <c r="B849" t="s">
        <v>1594</v>
      </c>
      <c r="C849" t="s">
        <v>70</v>
      </c>
      <c r="D849">
        <v>2500</v>
      </c>
      <c r="E849" t="s">
        <v>3</v>
      </c>
    </row>
    <row r="850" spans="1:5" x14ac:dyDescent="0.35">
      <c r="A850" t="s">
        <v>951</v>
      </c>
      <c r="B850" t="s">
        <v>1538</v>
      </c>
      <c r="C850" t="s">
        <v>14</v>
      </c>
      <c r="D850">
        <v>137800</v>
      </c>
      <c r="E850" t="s">
        <v>3</v>
      </c>
    </row>
    <row r="851" spans="1:5" x14ac:dyDescent="0.35">
      <c r="A851" t="s">
        <v>952</v>
      </c>
      <c r="B851" t="s">
        <v>1542</v>
      </c>
      <c r="C851" t="s">
        <v>18</v>
      </c>
      <c r="D851">
        <v>184300</v>
      </c>
      <c r="E851" t="s">
        <v>3</v>
      </c>
    </row>
    <row r="852" spans="1:5" x14ac:dyDescent="0.35">
      <c r="A852" t="s">
        <v>953</v>
      </c>
      <c r="B852" t="s">
        <v>1547</v>
      </c>
      <c r="C852" t="s">
        <v>23</v>
      </c>
      <c r="D852">
        <v>53000</v>
      </c>
      <c r="E852" t="s">
        <v>3</v>
      </c>
    </row>
    <row r="853" spans="1:5" x14ac:dyDescent="0.35">
      <c r="A853" t="s">
        <v>954</v>
      </c>
      <c r="B853" t="s">
        <v>1540</v>
      </c>
      <c r="C853" t="s">
        <v>16</v>
      </c>
      <c r="D853">
        <v>58600</v>
      </c>
      <c r="E853" t="s">
        <v>3</v>
      </c>
    </row>
    <row r="854" spans="1:5" x14ac:dyDescent="0.35">
      <c r="A854" t="s">
        <v>955</v>
      </c>
      <c r="B854" t="s">
        <v>1547</v>
      </c>
      <c r="C854" t="s">
        <v>23</v>
      </c>
      <c r="D854">
        <v>46200</v>
      </c>
      <c r="E854" t="s">
        <v>3</v>
      </c>
    </row>
    <row r="855" spans="1:5" x14ac:dyDescent="0.35">
      <c r="A855" t="s">
        <v>956</v>
      </c>
      <c r="B855" t="s">
        <v>1539</v>
      </c>
      <c r="C855" t="s">
        <v>15</v>
      </c>
      <c r="D855">
        <v>145000</v>
      </c>
      <c r="E855" t="s">
        <v>3</v>
      </c>
    </row>
    <row r="856" spans="1:5" x14ac:dyDescent="0.35">
      <c r="A856" t="s">
        <v>957</v>
      </c>
      <c r="B856" t="s">
        <v>1534</v>
      </c>
      <c r="C856" t="s">
        <v>10</v>
      </c>
      <c r="D856">
        <v>42100</v>
      </c>
      <c r="E856" t="s">
        <v>3</v>
      </c>
    </row>
    <row r="857" spans="1:5" x14ac:dyDescent="0.35">
      <c r="A857" t="s">
        <v>958</v>
      </c>
      <c r="B857" t="s">
        <v>1534</v>
      </c>
      <c r="C857" t="s">
        <v>10</v>
      </c>
      <c r="D857">
        <v>46900</v>
      </c>
      <c r="E857" t="s">
        <v>3</v>
      </c>
    </row>
    <row r="858" spans="1:5" x14ac:dyDescent="0.35">
      <c r="A858" t="s">
        <v>959</v>
      </c>
      <c r="B858" t="s">
        <v>1539</v>
      </c>
      <c r="C858" t="s">
        <v>15</v>
      </c>
      <c r="D858">
        <v>38900</v>
      </c>
      <c r="E858" t="s">
        <v>3</v>
      </c>
    </row>
    <row r="859" spans="1:5" x14ac:dyDescent="0.35">
      <c r="A859" t="s">
        <v>960</v>
      </c>
      <c r="B859" t="s">
        <v>1534</v>
      </c>
      <c r="C859" t="s">
        <v>10</v>
      </c>
      <c r="D859">
        <v>43300</v>
      </c>
      <c r="E859" t="s">
        <v>3</v>
      </c>
    </row>
    <row r="860" spans="1:5" x14ac:dyDescent="0.35">
      <c r="A860" t="s">
        <v>961</v>
      </c>
      <c r="B860" t="s">
        <v>1534</v>
      </c>
      <c r="C860" t="s">
        <v>10</v>
      </c>
      <c r="D860">
        <v>50600</v>
      </c>
      <c r="E860" t="s">
        <v>3</v>
      </c>
    </row>
    <row r="861" spans="1:5" x14ac:dyDescent="0.35">
      <c r="A861" t="s">
        <v>962</v>
      </c>
      <c r="B861" t="s">
        <v>1558</v>
      </c>
      <c r="C861" t="s">
        <v>34</v>
      </c>
      <c r="D861">
        <v>4500</v>
      </c>
      <c r="E861" t="s">
        <v>3</v>
      </c>
    </row>
    <row r="862" spans="1:5" x14ac:dyDescent="0.35">
      <c r="A862" t="s">
        <v>963</v>
      </c>
      <c r="B862" t="s">
        <v>1558</v>
      </c>
      <c r="C862" t="s">
        <v>34</v>
      </c>
      <c r="D862">
        <v>8400</v>
      </c>
      <c r="E862" t="s">
        <v>3</v>
      </c>
    </row>
    <row r="863" spans="1:5" x14ac:dyDescent="0.35">
      <c r="A863" t="s">
        <v>964</v>
      </c>
      <c r="B863" t="s">
        <v>1558</v>
      </c>
      <c r="C863" t="s">
        <v>34</v>
      </c>
      <c r="D863">
        <v>14800</v>
      </c>
      <c r="E863" t="s">
        <v>3</v>
      </c>
    </row>
    <row r="864" spans="1:5" x14ac:dyDescent="0.35">
      <c r="A864" t="s">
        <v>965</v>
      </c>
      <c r="B864" t="s">
        <v>1551</v>
      </c>
      <c r="C864" t="s">
        <v>27</v>
      </c>
      <c r="D864">
        <v>57400</v>
      </c>
      <c r="E864" t="s">
        <v>3</v>
      </c>
    </row>
    <row r="865" spans="1:5" x14ac:dyDescent="0.35">
      <c r="A865" t="s">
        <v>966</v>
      </c>
      <c r="B865" t="s">
        <v>1558</v>
      </c>
      <c r="C865" t="s">
        <v>34</v>
      </c>
      <c r="D865">
        <v>10600</v>
      </c>
      <c r="E865" t="s">
        <v>4</v>
      </c>
    </row>
    <row r="866" spans="1:5" x14ac:dyDescent="0.35">
      <c r="A866" t="s">
        <v>967</v>
      </c>
      <c r="B866" t="s">
        <v>1562</v>
      </c>
      <c r="C866" t="s">
        <v>38</v>
      </c>
      <c r="D866">
        <v>0</v>
      </c>
      <c r="E866" t="s">
        <v>4</v>
      </c>
    </row>
    <row r="867" spans="1:5" x14ac:dyDescent="0.35">
      <c r="A867" t="s">
        <v>968</v>
      </c>
      <c r="B867" t="s">
        <v>1543</v>
      </c>
      <c r="C867" t="s">
        <v>19</v>
      </c>
      <c r="D867">
        <v>43700</v>
      </c>
      <c r="E867" t="s">
        <v>4</v>
      </c>
    </row>
    <row r="868" spans="1:5" x14ac:dyDescent="0.35">
      <c r="A868" t="s">
        <v>969</v>
      </c>
      <c r="B868" t="s">
        <v>1539</v>
      </c>
      <c r="C868" t="s">
        <v>15</v>
      </c>
      <c r="D868">
        <v>44500</v>
      </c>
      <c r="E868" t="s">
        <v>4</v>
      </c>
    </row>
    <row r="869" spans="1:5" x14ac:dyDescent="0.35">
      <c r="A869" t="s">
        <v>970</v>
      </c>
      <c r="B869" t="s">
        <v>1540</v>
      </c>
      <c r="C869" t="s">
        <v>16</v>
      </c>
      <c r="D869">
        <v>148600</v>
      </c>
      <c r="E869" t="s">
        <v>4</v>
      </c>
    </row>
    <row r="870" spans="1:5" x14ac:dyDescent="0.35">
      <c r="A870" t="s">
        <v>971</v>
      </c>
      <c r="B870" t="s">
        <v>1542</v>
      </c>
      <c r="C870" t="s">
        <v>18</v>
      </c>
      <c r="D870">
        <v>70600</v>
      </c>
      <c r="E870" t="s">
        <v>4</v>
      </c>
    </row>
    <row r="871" spans="1:5" x14ac:dyDescent="0.35">
      <c r="A871" t="s">
        <v>972</v>
      </c>
      <c r="B871" t="s">
        <v>1584</v>
      </c>
      <c r="C871" t="s">
        <v>60</v>
      </c>
      <c r="D871">
        <v>25600</v>
      </c>
      <c r="E871" t="s">
        <v>4</v>
      </c>
    </row>
    <row r="872" spans="1:5" x14ac:dyDescent="0.35">
      <c r="A872" t="s">
        <v>973</v>
      </c>
      <c r="B872" t="s">
        <v>1557</v>
      </c>
      <c r="C872" t="s">
        <v>33</v>
      </c>
      <c r="D872">
        <v>62900</v>
      </c>
      <c r="E872" t="s">
        <v>4</v>
      </c>
    </row>
    <row r="873" spans="1:5" x14ac:dyDescent="0.35">
      <c r="A873" t="s">
        <v>974</v>
      </c>
      <c r="B873" t="s">
        <v>1558</v>
      </c>
      <c r="C873" t="s">
        <v>34</v>
      </c>
      <c r="D873">
        <v>48800</v>
      </c>
      <c r="E873" t="s">
        <v>4</v>
      </c>
    </row>
    <row r="874" spans="1:5" x14ac:dyDescent="0.35">
      <c r="A874" t="s">
        <v>975</v>
      </c>
      <c r="B874" t="s">
        <v>1553</v>
      </c>
      <c r="C874" t="s">
        <v>29</v>
      </c>
      <c r="D874">
        <v>20500</v>
      </c>
      <c r="E874" t="s">
        <v>4</v>
      </c>
    </row>
    <row r="875" spans="1:5" x14ac:dyDescent="0.35">
      <c r="A875" t="s">
        <v>976</v>
      </c>
      <c r="B875" t="s">
        <v>1610</v>
      </c>
      <c r="C875" t="s">
        <v>86</v>
      </c>
      <c r="D875">
        <v>13300</v>
      </c>
      <c r="E875" t="s">
        <v>4</v>
      </c>
    </row>
    <row r="876" spans="1:5" x14ac:dyDescent="0.35">
      <c r="A876" t="s">
        <v>977</v>
      </c>
      <c r="B876" t="s">
        <v>1594</v>
      </c>
      <c r="C876" t="s">
        <v>70</v>
      </c>
      <c r="D876">
        <v>4700</v>
      </c>
      <c r="E876" t="s">
        <v>4</v>
      </c>
    </row>
    <row r="877" spans="1:5" x14ac:dyDescent="0.35">
      <c r="A877" t="s">
        <v>978</v>
      </c>
      <c r="B877" t="s">
        <v>1540</v>
      </c>
      <c r="C877" t="s">
        <v>16</v>
      </c>
      <c r="D877">
        <v>1200</v>
      </c>
      <c r="E877" t="s">
        <v>4</v>
      </c>
    </row>
    <row r="878" spans="1:5" x14ac:dyDescent="0.35">
      <c r="A878" t="s">
        <v>979</v>
      </c>
      <c r="B878" t="s">
        <v>1540</v>
      </c>
      <c r="C878" t="s">
        <v>16</v>
      </c>
      <c r="D878">
        <v>1200</v>
      </c>
      <c r="E878" t="s">
        <v>4</v>
      </c>
    </row>
    <row r="879" spans="1:5" x14ac:dyDescent="0.35">
      <c r="A879" t="s">
        <v>980</v>
      </c>
      <c r="B879" t="s">
        <v>1540</v>
      </c>
      <c r="C879" t="s">
        <v>16</v>
      </c>
      <c r="D879">
        <v>4500</v>
      </c>
      <c r="E879" t="s">
        <v>4</v>
      </c>
    </row>
    <row r="880" spans="1:5" x14ac:dyDescent="0.35">
      <c r="A880" t="s">
        <v>981</v>
      </c>
      <c r="B880" t="s">
        <v>1540</v>
      </c>
      <c r="C880" t="s">
        <v>16</v>
      </c>
      <c r="D880">
        <v>265200</v>
      </c>
      <c r="E880" t="s">
        <v>4</v>
      </c>
    </row>
    <row r="881" spans="1:5" x14ac:dyDescent="0.35">
      <c r="A881" t="s">
        <v>982</v>
      </c>
      <c r="B881" t="s">
        <v>1558</v>
      </c>
      <c r="C881" t="s">
        <v>34</v>
      </c>
      <c r="D881">
        <v>0</v>
      </c>
      <c r="E881" t="s">
        <v>4</v>
      </c>
    </row>
    <row r="882" spans="1:5" x14ac:dyDescent="0.35">
      <c r="A882" t="s">
        <v>983</v>
      </c>
      <c r="B882" t="s">
        <v>1563</v>
      </c>
      <c r="C882" t="s">
        <v>39</v>
      </c>
      <c r="D882">
        <v>52200</v>
      </c>
      <c r="E882" t="s">
        <v>4</v>
      </c>
    </row>
    <row r="883" spans="1:5" x14ac:dyDescent="0.35">
      <c r="A883" t="s">
        <v>984</v>
      </c>
      <c r="B883" t="s">
        <v>1563</v>
      </c>
      <c r="C883" t="s">
        <v>39</v>
      </c>
      <c r="D883">
        <v>59500</v>
      </c>
      <c r="E883" t="s">
        <v>4</v>
      </c>
    </row>
    <row r="884" spans="1:5" x14ac:dyDescent="0.35">
      <c r="A884" t="s">
        <v>985</v>
      </c>
      <c r="B884" t="s">
        <v>1534</v>
      </c>
      <c r="C884" t="s">
        <v>10</v>
      </c>
      <c r="D884">
        <v>57900</v>
      </c>
      <c r="E884" t="s">
        <v>4</v>
      </c>
    </row>
    <row r="885" spans="1:5" x14ac:dyDescent="0.35">
      <c r="A885" t="s">
        <v>986</v>
      </c>
      <c r="B885" t="s">
        <v>1548</v>
      </c>
      <c r="C885" t="s">
        <v>24</v>
      </c>
      <c r="D885">
        <v>51100</v>
      </c>
      <c r="E885" t="s">
        <v>4</v>
      </c>
    </row>
    <row r="886" spans="1:5" x14ac:dyDescent="0.35">
      <c r="A886" t="s">
        <v>987</v>
      </c>
      <c r="B886" t="s">
        <v>1611</v>
      </c>
      <c r="C886" t="s">
        <v>87</v>
      </c>
      <c r="D886">
        <v>108000</v>
      </c>
      <c r="E886" t="s">
        <v>4</v>
      </c>
    </row>
    <row r="887" spans="1:5" x14ac:dyDescent="0.35">
      <c r="A887" t="s">
        <v>988</v>
      </c>
      <c r="B887" t="s">
        <v>1550</v>
      </c>
      <c r="C887" t="s">
        <v>26</v>
      </c>
      <c r="D887">
        <v>332000</v>
      </c>
      <c r="E887" t="s">
        <v>4</v>
      </c>
    </row>
    <row r="888" spans="1:5" x14ac:dyDescent="0.35">
      <c r="A888" t="s">
        <v>989</v>
      </c>
      <c r="B888" t="s">
        <v>1534</v>
      </c>
      <c r="C888" t="s">
        <v>10</v>
      </c>
      <c r="D888">
        <v>54900</v>
      </c>
      <c r="E888" t="s">
        <v>4</v>
      </c>
    </row>
    <row r="889" spans="1:5" x14ac:dyDescent="0.35">
      <c r="A889" t="s">
        <v>990</v>
      </c>
      <c r="B889" t="s">
        <v>1543</v>
      </c>
      <c r="C889" t="s">
        <v>19</v>
      </c>
      <c r="D889">
        <v>42900</v>
      </c>
      <c r="E889" t="s">
        <v>4</v>
      </c>
    </row>
    <row r="890" spans="1:5" x14ac:dyDescent="0.35">
      <c r="A890" t="s">
        <v>991</v>
      </c>
      <c r="B890" t="s">
        <v>1543</v>
      </c>
      <c r="C890" t="s">
        <v>19</v>
      </c>
      <c r="D890">
        <v>75900</v>
      </c>
      <c r="E890" t="s">
        <v>4</v>
      </c>
    </row>
    <row r="891" spans="1:5" x14ac:dyDescent="0.35">
      <c r="A891" t="s">
        <v>992</v>
      </c>
      <c r="B891" t="s">
        <v>1540</v>
      </c>
      <c r="C891" t="s">
        <v>16</v>
      </c>
      <c r="D891">
        <v>38800</v>
      </c>
      <c r="E891" t="s">
        <v>4</v>
      </c>
    </row>
    <row r="892" spans="1:5" x14ac:dyDescent="0.35">
      <c r="A892" t="s">
        <v>993</v>
      </c>
      <c r="B892" t="s">
        <v>1561</v>
      </c>
      <c r="C892" t="s">
        <v>37</v>
      </c>
      <c r="D892">
        <v>43600</v>
      </c>
      <c r="E892" t="s">
        <v>4</v>
      </c>
    </row>
    <row r="893" spans="1:5" x14ac:dyDescent="0.35">
      <c r="A893" t="s">
        <v>994</v>
      </c>
      <c r="B893" t="s">
        <v>1553</v>
      </c>
      <c r="C893" t="s">
        <v>29</v>
      </c>
      <c r="D893">
        <v>126600</v>
      </c>
      <c r="E893" t="s">
        <v>4</v>
      </c>
    </row>
    <row r="894" spans="1:5" x14ac:dyDescent="0.35">
      <c r="A894" t="s">
        <v>995</v>
      </c>
      <c r="B894" t="s">
        <v>1550</v>
      </c>
      <c r="C894" t="s">
        <v>26</v>
      </c>
      <c r="D894">
        <v>193900</v>
      </c>
      <c r="E894" t="s">
        <v>4</v>
      </c>
    </row>
    <row r="895" spans="1:5" x14ac:dyDescent="0.35">
      <c r="A895" t="s">
        <v>996</v>
      </c>
      <c r="B895" t="s">
        <v>1550</v>
      </c>
      <c r="C895" t="s">
        <v>26</v>
      </c>
      <c r="D895">
        <v>130900</v>
      </c>
      <c r="E895" t="s">
        <v>4</v>
      </c>
    </row>
    <row r="896" spans="1:5" x14ac:dyDescent="0.35">
      <c r="A896" t="s">
        <v>997</v>
      </c>
      <c r="B896" t="s">
        <v>1570</v>
      </c>
      <c r="C896" t="s">
        <v>46</v>
      </c>
      <c r="D896">
        <v>65400</v>
      </c>
      <c r="E896" t="s">
        <v>4</v>
      </c>
    </row>
    <row r="897" spans="1:5" x14ac:dyDescent="0.35">
      <c r="A897" t="s">
        <v>998</v>
      </c>
      <c r="B897" t="s">
        <v>1538</v>
      </c>
      <c r="C897" t="s">
        <v>14</v>
      </c>
      <c r="D897">
        <v>182600</v>
      </c>
      <c r="E897" t="s">
        <v>4</v>
      </c>
    </row>
    <row r="898" spans="1:5" x14ac:dyDescent="0.35">
      <c r="A898" t="s">
        <v>999</v>
      </c>
      <c r="B898" t="s">
        <v>1545</v>
      </c>
      <c r="C898" t="s">
        <v>21</v>
      </c>
      <c r="D898">
        <v>53100</v>
      </c>
      <c r="E898" t="s">
        <v>4</v>
      </c>
    </row>
    <row r="899" spans="1:5" x14ac:dyDescent="0.35">
      <c r="A899" t="s">
        <v>1000</v>
      </c>
      <c r="B899" t="s">
        <v>1540</v>
      </c>
      <c r="C899" t="s">
        <v>16</v>
      </c>
      <c r="D899">
        <v>142600</v>
      </c>
      <c r="E899" t="s">
        <v>4</v>
      </c>
    </row>
    <row r="900" spans="1:5" x14ac:dyDescent="0.35">
      <c r="A900" t="s">
        <v>1001</v>
      </c>
      <c r="B900" t="s">
        <v>1534</v>
      </c>
      <c r="C900" t="s">
        <v>10</v>
      </c>
      <c r="D900">
        <v>0</v>
      </c>
      <c r="E900" t="s">
        <v>4</v>
      </c>
    </row>
    <row r="901" spans="1:5" x14ac:dyDescent="0.35">
      <c r="A901" t="s">
        <v>1002</v>
      </c>
      <c r="B901" t="s">
        <v>1612</v>
      </c>
      <c r="C901" t="s">
        <v>88</v>
      </c>
      <c r="D901">
        <v>132400</v>
      </c>
      <c r="E901" t="s">
        <v>4</v>
      </c>
    </row>
    <row r="902" spans="1:5" x14ac:dyDescent="0.35">
      <c r="A902" t="s">
        <v>1003</v>
      </c>
      <c r="B902" t="s">
        <v>1562</v>
      </c>
      <c r="C902" t="s">
        <v>38</v>
      </c>
      <c r="D902">
        <v>0</v>
      </c>
      <c r="E902" t="s">
        <v>4</v>
      </c>
    </row>
    <row r="903" spans="1:5" x14ac:dyDescent="0.35">
      <c r="A903" t="s">
        <v>1004</v>
      </c>
      <c r="B903" t="s">
        <v>1538</v>
      </c>
      <c r="C903" t="s">
        <v>14</v>
      </c>
      <c r="D903">
        <v>84000</v>
      </c>
      <c r="E903" t="s">
        <v>4</v>
      </c>
    </row>
    <row r="904" spans="1:5" x14ac:dyDescent="0.35">
      <c r="A904" t="s">
        <v>1005</v>
      </c>
      <c r="B904" t="s">
        <v>1542</v>
      </c>
      <c r="C904" t="s">
        <v>18</v>
      </c>
      <c r="D904">
        <v>205100</v>
      </c>
      <c r="E904" t="s">
        <v>4</v>
      </c>
    </row>
    <row r="905" spans="1:5" x14ac:dyDescent="0.35">
      <c r="A905" t="s">
        <v>1006</v>
      </c>
      <c r="B905" t="s">
        <v>1551</v>
      </c>
      <c r="C905" t="s">
        <v>27</v>
      </c>
      <c r="D905">
        <v>67900</v>
      </c>
      <c r="E905" t="s">
        <v>4</v>
      </c>
    </row>
    <row r="906" spans="1:5" x14ac:dyDescent="0.35">
      <c r="A906" t="s">
        <v>1007</v>
      </c>
      <c r="B906" t="s">
        <v>1556</v>
      </c>
      <c r="C906" t="s">
        <v>32</v>
      </c>
      <c r="D906">
        <v>66100</v>
      </c>
      <c r="E906" t="s">
        <v>4</v>
      </c>
    </row>
    <row r="907" spans="1:5" x14ac:dyDescent="0.35">
      <c r="A907" t="s">
        <v>1008</v>
      </c>
      <c r="B907" t="s">
        <v>1540</v>
      </c>
      <c r="C907" t="s">
        <v>16</v>
      </c>
      <c r="D907">
        <v>271700</v>
      </c>
      <c r="E907" t="s">
        <v>4</v>
      </c>
    </row>
    <row r="908" spans="1:5" x14ac:dyDescent="0.35">
      <c r="A908" t="s">
        <v>1009</v>
      </c>
      <c r="B908" t="s">
        <v>1540</v>
      </c>
      <c r="C908" t="s">
        <v>16</v>
      </c>
      <c r="D908">
        <v>319700</v>
      </c>
      <c r="E908" t="s">
        <v>4</v>
      </c>
    </row>
    <row r="909" spans="1:5" x14ac:dyDescent="0.35">
      <c r="A909" t="s">
        <v>1010</v>
      </c>
      <c r="B909" t="s">
        <v>1544</v>
      </c>
      <c r="C909" t="s">
        <v>20</v>
      </c>
      <c r="D909">
        <v>81600</v>
      </c>
      <c r="E909" t="s">
        <v>4</v>
      </c>
    </row>
    <row r="910" spans="1:5" x14ac:dyDescent="0.35">
      <c r="A910" t="s">
        <v>1011</v>
      </c>
      <c r="B910" t="s">
        <v>1544</v>
      </c>
      <c r="C910" t="s">
        <v>20</v>
      </c>
      <c r="D910">
        <v>69000</v>
      </c>
      <c r="E910" t="s">
        <v>4</v>
      </c>
    </row>
    <row r="911" spans="1:5" x14ac:dyDescent="0.35">
      <c r="A911" t="s">
        <v>1012</v>
      </c>
      <c r="B911" t="s">
        <v>1544</v>
      </c>
      <c r="C911" t="s">
        <v>20</v>
      </c>
      <c r="D911">
        <v>89000</v>
      </c>
      <c r="E911" t="s">
        <v>4</v>
      </c>
    </row>
    <row r="912" spans="1:5" x14ac:dyDescent="0.35">
      <c r="A912" t="s">
        <v>1013</v>
      </c>
      <c r="B912" t="s">
        <v>1613</v>
      </c>
      <c r="C912" t="s">
        <v>89</v>
      </c>
      <c r="D912">
        <v>71200</v>
      </c>
      <c r="E912" t="s">
        <v>4</v>
      </c>
    </row>
    <row r="913" spans="1:5" x14ac:dyDescent="0.35">
      <c r="A913" t="s">
        <v>1014</v>
      </c>
      <c r="B913" t="s">
        <v>1614</v>
      </c>
      <c r="C913" t="s">
        <v>90</v>
      </c>
      <c r="D913">
        <v>130100</v>
      </c>
      <c r="E913" t="s">
        <v>4</v>
      </c>
    </row>
    <row r="914" spans="1:5" x14ac:dyDescent="0.35">
      <c r="A914" t="s">
        <v>1015</v>
      </c>
      <c r="B914" t="s">
        <v>1542</v>
      </c>
      <c r="C914" t="s">
        <v>18</v>
      </c>
      <c r="D914">
        <v>41200</v>
      </c>
      <c r="E914" t="s">
        <v>4</v>
      </c>
    </row>
    <row r="915" spans="1:5" x14ac:dyDescent="0.35">
      <c r="A915" t="s">
        <v>1016</v>
      </c>
      <c r="B915" t="s">
        <v>1542</v>
      </c>
      <c r="C915" t="s">
        <v>18</v>
      </c>
      <c r="D915">
        <v>47500</v>
      </c>
      <c r="E915" t="s">
        <v>4</v>
      </c>
    </row>
    <row r="916" spans="1:5" x14ac:dyDescent="0.35">
      <c r="A916" t="s">
        <v>1017</v>
      </c>
      <c r="B916" t="s">
        <v>1559</v>
      </c>
      <c r="C916" t="s">
        <v>35</v>
      </c>
      <c r="D916">
        <v>180400</v>
      </c>
      <c r="E916" t="s">
        <v>4</v>
      </c>
    </row>
    <row r="917" spans="1:5" x14ac:dyDescent="0.35">
      <c r="A917" t="s">
        <v>1018</v>
      </c>
      <c r="B917" t="s">
        <v>1542</v>
      </c>
      <c r="C917" t="s">
        <v>18</v>
      </c>
      <c r="D917">
        <v>117400</v>
      </c>
      <c r="E917" t="s">
        <v>4</v>
      </c>
    </row>
    <row r="918" spans="1:5" x14ac:dyDescent="0.35">
      <c r="A918" t="s">
        <v>1019</v>
      </c>
      <c r="B918" t="s">
        <v>1594</v>
      </c>
      <c r="C918" t="s">
        <v>70</v>
      </c>
      <c r="D918">
        <v>58200</v>
      </c>
      <c r="E918" t="s">
        <v>4</v>
      </c>
    </row>
    <row r="919" spans="1:5" x14ac:dyDescent="0.35">
      <c r="A919" t="s">
        <v>1020</v>
      </c>
      <c r="B919" t="s">
        <v>1538</v>
      </c>
      <c r="C919" t="s">
        <v>14</v>
      </c>
      <c r="D919">
        <v>171300</v>
      </c>
      <c r="E919" t="s">
        <v>4</v>
      </c>
    </row>
    <row r="920" spans="1:5" x14ac:dyDescent="0.35">
      <c r="A920" t="s">
        <v>1021</v>
      </c>
      <c r="B920" t="s">
        <v>1594</v>
      </c>
      <c r="C920" t="s">
        <v>70</v>
      </c>
      <c r="D920">
        <v>44400</v>
      </c>
      <c r="E920" t="s">
        <v>4</v>
      </c>
    </row>
    <row r="921" spans="1:5" x14ac:dyDescent="0.35">
      <c r="A921" t="s">
        <v>1022</v>
      </c>
      <c r="B921" t="s">
        <v>1576</v>
      </c>
      <c r="C921" t="s">
        <v>52</v>
      </c>
      <c r="D921">
        <v>87800</v>
      </c>
      <c r="E921" t="s">
        <v>4</v>
      </c>
    </row>
    <row r="922" spans="1:5" x14ac:dyDescent="0.35">
      <c r="A922" t="s">
        <v>1023</v>
      </c>
      <c r="B922" t="s">
        <v>1542</v>
      </c>
      <c r="C922" t="s">
        <v>18</v>
      </c>
      <c r="D922">
        <v>140300</v>
      </c>
      <c r="E922" t="s">
        <v>4</v>
      </c>
    </row>
    <row r="923" spans="1:5" x14ac:dyDescent="0.35">
      <c r="A923" t="s">
        <v>1024</v>
      </c>
      <c r="B923" t="s">
        <v>1551</v>
      </c>
      <c r="C923" t="s">
        <v>27</v>
      </c>
      <c r="D923">
        <v>42700</v>
      </c>
      <c r="E923" t="s">
        <v>4</v>
      </c>
    </row>
    <row r="924" spans="1:5" x14ac:dyDescent="0.35">
      <c r="A924" t="s">
        <v>1025</v>
      </c>
      <c r="B924" t="s">
        <v>1538</v>
      </c>
      <c r="C924" t="s">
        <v>14</v>
      </c>
      <c r="D924">
        <v>59500</v>
      </c>
      <c r="E924" t="s">
        <v>4</v>
      </c>
    </row>
    <row r="925" spans="1:5" x14ac:dyDescent="0.35">
      <c r="A925" t="s">
        <v>1026</v>
      </c>
      <c r="B925" t="s">
        <v>1538</v>
      </c>
      <c r="C925" t="s">
        <v>14</v>
      </c>
      <c r="D925">
        <v>72600</v>
      </c>
      <c r="E925" t="s">
        <v>4</v>
      </c>
    </row>
    <row r="926" spans="1:5" x14ac:dyDescent="0.35">
      <c r="A926" t="s">
        <v>1027</v>
      </c>
      <c r="B926" t="s">
        <v>1538</v>
      </c>
      <c r="C926" t="s">
        <v>14</v>
      </c>
      <c r="D926">
        <v>49600</v>
      </c>
      <c r="E926" t="s">
        <v>4</v>
      </c>
    </row>
    <row r="927" spans="1:5" x14ac:dyDescent="0.35">
      <c r="A927" t="s">
        <v>1028</v>
      </c>
      <c r="B927" t="s">
        <v>1538</v>
      </c>
      <c r="C927" t="s">
        <v>14</v>
      </c>
      <c r="D927">
        <v>72000</v>
      </c>
      <c r="E927" t="s">
        <v>4</v>
      </c>
    </row>
    <row r="928" spans="1:5" x14ac:dyDescent="0.35">
      <c r="A928" t="s">
        <v>1029</v>
      </c>
      <c r="B928" t="s">
        <v>1538</v>
      </c>
      <c r="C928" t="s">
        <v>14</v>
      </c>
      <c r="D928">
        <v>68800</v>
      </c>
      <c r="E928" t="s">
        <v>4</v>
      </c>
    </row>
    <row r="929" spans="1:5" x14ac:dyDescent="0.35">
      <c r="A929" t="s">
        <v>1030</v>
      </c>
      <c r="B929" t="s">
        <v>1540</v>
      </c>
      <c r="C929" t="s">
        <v>16</v>
      </c>
      <c r="D929">
        <v>279400</v>
      </c>
      <c r="E929" t="s">
        <v>4</v>
      </c>
    </row>
    <row r="930" spans="1:5" x14ac:dyDescent="0.35">
      <c r="A930" t="s">
        <v>1031</v>
      </c>
      <c r="B930" t="s">
        <v>1576</v>
      </c>
      <c r="C930" t="s">
        <v>52</v>
      </c>
      <c r="D930">
        <v>188800</v>
      </c>
      <c r="E930" t="s">
        <v>4</v>
      </c>
    </row>
    <row r="931" spans="1:5" x14ac:dyDescent="0.35">
      <c r="A931" t="s">
        <v>1032</v>
      </c>
      <c r="B931" t="s">
        <v>1615</v>
      </c>
      <c r="C931" t="s">
        <v>91</v>
      </c>
      <c r="D931">
        <v>63900</v>
      </c>
      <c r="E931" t="s">
        <v>4</v>
      </c>
    </row>
    <row r="932" spans="1:5" x14ac:dyDescent="0.35">
      <c r="A932" t="s">
        <v>1033</v>
      </c>
      <c r="B932" t="s">
        <v>1616</v>
      </c>
      <c r="C932" t="s">
        <v>92</v>
      </c>
      <c r="D932">
        <v>104600</v>
      </c>
      <c r="E932" t="s">
        <v>4</v>
      </c>
    </row>
    <row r="933" spans="1:5" x14ac:dyDescent="0.35">
      <c r="A933" t="s">
        <v>1034</v>
      </c>
      <c r="B933" t="s">
        <v>1540</v>
      </c>
      <c r="C933" t="s">
        <v>16</v>
      </c>
      <c r="D933">
        <v>132700</v>
      </c>
      <c r="E933" t="s">
        <v>4</v>
      </c>
    </row>
    <row r="934" spans="1:5" x14ac:dyDescent="0.35">
      <c r="A934" t="s">
        <v>1035</v>
      </c>
      <c r="B934" t="s">
        <v>1558</v>
      </c>
      <c r="C934" t="s">
        <v>34</v>
      </c>
      <c r="D934">
        <v>70800</v>
      </c>
      <c r="E934" t="s">
        <v>4</v>
      </c>
    </row>
    <row r="935" spans="1:5" x14ac:dyDescent="0.35">
      <c r="A935" t="s">
        <v>1036</v>
      </c>
      <c r="B935" t="s">
        <v>1543</v>
      </c>
      <c r="C935" t="s">
        <v>19</v>
      </c>
      <c r="D935">
        <v>126300</v>
      </c>
      <c r="E935" t="s">
        <v>4</v>
      </c>
    </row>
    <row r="936" spans="1:5" x14ac:dyDescent="0.35">
      <c r="A936" t="s">
        <v>1037</v>
      </c>
      <c r="B936" t="s">
        <v>1561</v>
      </c>
      <c r="C936" t="s">
        <v>37</v>
      </c>
      <c r="D936">
        <v>144900</v>
      </c>
      <c r="E936" t="s">
        <v>4</v>
      </c>
    </row>
    <row r="937" spans="1:5" x14ac:dyDescent="0.35">
      <c r="A937" t="s">
        <v>1038</v>
      </c>
      <c r="B937" t="s">
        <v>1568</v>
      </c>
      <c r="C937" t="s">
        <v>44</v>
      </c>
      <c r="D937">
        <v>217000</v>
      </c>
      <c r="E937" t="s">
        <v>4</v>
      </c>
    </row>
    <row r="938" spans="1:5" x14ac:dyDescent="0.35">
      <c r="A938" t="s">
        <v>1039</v>
      </c>
      <c r="B938" t="s">
        <v>1538</v>
      </c>
      <c r="C938" t="s">
        <v>14</v>
      </c>
      <c r="D938">
        <v>90800</v>
      </c>
      <c r="E938" t="s">
        <v>4</v>
      </c>
    </row>
    <row r="939" spans="1:5" x14ac:dyDescent="0.35">
      <c r="A939" t="s">
        <v>1040</v>
      </c>
      <c r="B939" t="s">
        <v>1576</v>
      </c>
      <c r="C939" t="s">
        <v>52</v>
      </c>
      <c r="D939">
        <v>172700</v>
      </c>
      <c r="E939" t="s">
        <v>4</v>
      </c>
    </row>
    <row r="940" spans="1:5" x14ac:dyDescent="0.35">
      <c r="A940" t="s">
        <v>1041</v>
      </c>
      <c r="B940" t="s">
        <v>1542</v>
      </c>
      <c r="C940" t="s">
        <v>18</v>
      </c>
      <c r="D940">
        <v>161500</v>
      </c>
      <c r="E940" t="s">
        <v>4</v>
      </c>
    </row>
    <row r="941" spans="1:5" x14ac:dyDescent="0.35">
      <c r="A941" t="s">
        <v>1042</v>
      </c>
      <c r="B941" t="s">
        <v>1617</v>
      </c>
      <c r="C941" t="s">
        <v>93</v>
      </c>
      <c r="D941">
        <v>61200</v>
      </c>
      <c r="E941" t="s">
        <v>4</v>
      </c>
    </row>
    <row r="942" spans="1:5" x14ac:dyDescent="0.35">
      <c r="A942" t="s">
        <v>1043</v>
      </c>
      <c r="B942" t="s">
        <v>1540</v>
      </c>
      <c r="C942" t="s">
        <v>16</v>
      </c>
      <c r="D942">
        <v>40100</v>
      </c>
      <c r="E942" t="s">
        <v>4</v>
      </c>
    </row>
    <row r="943" spans="1:5" x14ac:dyDescent="0.35">
      <c r="A943" t="s">
        <v>1044</v>
      </c>
      <c r="B943" t="s">
        <v>1540</v>
      </c>
      <c r="C943" t="s">
        <v>16</v>
      </c>
      <c r="D943">
        <v>39400</v>
      </c>
      <c r="E943" t="s">
        <v>4</v>
      </c>
    </row>
    <row r="944" spans="1:5" x14ac:dyDescent="0.35">
      <c r="A944" t="s">
        <v>1045</v>
      </c>
      <c r="B944" t="s">
        <v>1543</v>
      </c>
      <c r="C944" t="s">
        <v>19</v>
      </c>
      <c r="D944">
        <v>36400</v>
      </c>
      <c r="E944" t="s">
        <v>4</v>
      </c>
    </row>
    <row r="945" spans="1:5" x14ac:dyDescent="0.35">
      <c r="A945" t="s">
        <v>1046</v>
      </c>
      <c r="B945" t="s">
        <v>1543</v>
      </c>
      <c r="C945" t="s">
        <v>19</v>
      </c>
      <c r="D945">
        <v>91100</v>
      </c>
      <c r="E945" t="s">
        <v>4</v>
      </c>
    </row>
    <row r="946" spans="1:5" x14ac:dyDescent="0.35">
      <c r="A946" t="s">
        <v>1047</v>
      </c>
      <c r="B946" t="s">
        <v>1543</v>
      </c>
      <c r="C946" t="s">
        <v>19</v>
      </c>
      <c r="D946">
        <v>136200</v>
      </c>
      <c r="E946" t="s">
        <v>4</v>
      </c>
    </row>
    <row r="947" spans="1:5" x14ac:dyDescent="0.35">
      <c r="A947" t="s">
        <v>1048</v>
      </c>
      <c r="B947" t="s">
        <v>1598</v>
      </c>
      <c r="C947" t="s">
        <v>74</v>
      </c>
      <c r="D947">
        <v>98700</v>
      </c>
      <c r="E947" t="s">
        <v>4</v>
      </c>
    </row>
    <row r="948" spans="1:5" x14ac:dyDescent="0.35">
      <c r="A948" t="s">
        <v>1049</v>
      </c>
      <c r="B948" t="s">
        <v>1543</v>
      </c>
      <c r="C948" t="s">
        <v>19</v>
      </c>
      <c r="D948">
        <v>140100</v>
      </c>
      <c r="E948" t="s">
        <v>4</v>
      </c>
    </row>
    <row r="949" spans="1:5" x14ac:dyDescent="0.35">
      <c r="A949" t="s">
        <v>1050</v>
      </c>
      <c r="B949" t="s">
        <v>1558</v>
      </c>
      <c r="C949" t="s">
        <v>34</v>
      </c>
      <c r="D949">
        <v>92900</v>
      </c>
      <c r="E949" t="s">
        <v>4</v>
      </c>
    </row>
    <row r="950" spans="1:5" x14ac:dyDescent="0.35">
      <c r="A950" t="s">
        <v>1051</v>
      </c>
      <c r="B950" t="s">
        <v>1538</v>
      </c>
      <c r="C950" t="s">
        <v>14</v>
      </c>
      <c r="D950">
        <v>61500</v>
      </c>
      <c r="E950" t="s">
        <v>4</v>
      </c>
    </row>
    <row r="951" spans="1:5" x14ac:dyDescent="0.35">
      <c r="A951" t="s">
        <v>1052</v>
      </c>
      <c r="B951" t="s">
        <v>1538</v>
      </c>
      <c r="C951" t="s">
        <v>14</v>
      </c>
      <c r="D951">
        <v>52100</v>
      </c>
      <c r="E951" t="s">
        <v>4</v>
      </c>
    </row>
    <row r="952" spans="1:5" x14ac:dyDescent="0.35">
      <c r="A952" t="s">
        <v>1053</v>
      </c>
      <c r="B952" t="s">
        <v>1558</v>
      </c>
      <c r="C952" t="s">
        <v>34</v>
      </c>
      <c r="D952">
        <v>44100</v>
      </c>
      <c r="E952" t="s">
        <v>4</v>
      </c>
    </row>
    <row r="953" spans="1:5" x14ac:dyDescent="0.35">
      <c r="A953" t="s">
        <v>1054</v>
      </c>
      <c r="B953" t="s">
        <v>1553</v>
      </c>
      <c r="C953" t="s">
        <v>29</v>
      </c>
      <c r="D953">
        <v>128800</v>
      </c>
      <c r="E953" t="s">
        <v>4</v>
      </c>
    </row>
    <row r="954" spans="1:5" x14ac:dyDescent="0.35">
      <c r="A954" t="s">
        <v>1055</v>
      </c>
      <c r="B954" t="s">
        <v>1553</v>
      </c>
      <c r="C954" t="s">
        <v>29</v>
      </c>
      <c r="D954">
        <v>175300</v>
      </c>
      <c r="E954" t="s">
        <v>4</v>
      </c>
    </row>
    <row r="955" spans="1:5" x14ac:dyDescent="0.35">
      <c r="A955" t="s">
        <v>1056</v>
      </c>
      <c r="B955" t="s">
        <v>1553</v>
      </c>
      <c r="C955" t="s">
        <v>29</v>
      </c>
      <c r="D955">
        <v>157100</v>
      </c>
      <c r="E955" t="s">
        <v>4</v>
      </c>
    </row>
    <row r="956" spans="1:5" x14ac:dyDescent="0.35">
      <c r="A956" t="s">
        <v>1057</v>
      </c>
      <c r="B956" t="s">
        <v>1540</v>
      </c>
      <c r="C956" t="s">
        <v>16</v>
      </c>
      <c r="D956">
        <v>45900</v>
      </c>
      <c r="E956" t="s">
        <v>4</v>
      </c>
    </row>
    <row r="957" spans="1:5" x14ac:dyDescent="0.35">
      <c r="A957" t="s">
        <v>1058</v>
      </c>
      <c r="B957" t="s">
        <v>1561</v>
      </c>
      <c r="C957" t="s">
        <v>37</v>
      </c>
      <c r="D957">
        <v>91100</v>
      </c>
      <c r="E957" t="s">
        <v>4</v>
      </c>
    </row>
    <row r="958" spans="1:5" x14ac:dyDescent="0.35">
      <c r="A958" t="s">
        <v>1059</v>
      </c>
      <c r="B958" t="s">
        <v>1538</v>
      </c>
      <c r="C958" t="s">
        <v>14</v>
      </c>
      <c r="D958">
        <v>57900</v>
      </c>
      <c r="E958" t="s">
        <v>4</v>
      </c>
    </row>
    <row r="959" spans="1:5" x14ac:dyDescent="0.35">
      <c r="A959" t="s">
        <v>1060</v>
      </c>
      <c r="B959" t="s">
        <v>1538</v>
      </c>
      <c r="C959" t="s">
        <v>14</v>
      </c>
      <c r="D959">
        <v>54100</v>
      </c>
      <c r="E959" t="s">
        <v>4</v>
      </c>
    </row>
    <row r="960" spans="1:5" x14ac:dyDescent="0.35">
      <c r="A960" t="s">
        <v>1061</v>
      </c>
      <c r="B960" t="s">
        <v>1551</v>
      </c>
      <c r="C960" t="s">
        <v>27</v>
      </c>
      <c r="D960">
        <v>67800</v>
      </c>
      <c r="E960" t="s">
        <v>4</v>
      </c>
    </row>
    <row r="961" spans="1:5" x14ac:dyDescent="0.35">
      <c r="A961" t="s">
        <v>1062</v>
      </c>
      <c r="B961" t="s">
        <v>1572</v>
      </c>
      <c r="C961" t="s">
        <v>48</v>
      </c>
      <c r="D961">
        <v>64600</v>
      </c>
      <c r="E961" t="s">
        <v>4</v>
      </c>
    </row>
    <row r="962" spans="1:5" x14ac:dyDescent="0.35">
      <c r="A962" t="s">
        <v>1063</v>
      </c>
      <c r="B962" t="s">
        <v>1542</v>
      </c>
      <c r="C962" t="s">
        <v>18</v>
      </c>
      <c r="D962">
        <v>352300</v>
      </c>
      <c r="E962" t="s">
        <v>4</v>
      </c>
    </row>
    <row r="963" spans="1:5" x14ac:dyDescent="0.35">
      <c r="A963" t="s">
        <v>1064</v>
      </c>
      <c r="B963" t="s">
        <v>1576</v>
      </c>
      <c r="C963" t="s">
        <v>52</v>
      </c>
      <c r="D963">
        <v>53800</v>
      </c>
      <c r="E963" t="s">
        <v>4</v>
      </c>
    </row>
    <row r="964" spans="1:5" x14ac:dyDescent="0.35">
      <c r="A964" t="s">
        <v>1065</v>
      </c>
      <c r="B964" t="s">
        <v>1538</v>
      </c>
      <c r="C964" t="s">
        <v>14</v>
      </c>
      <c r="D964">
        <v>72900</v>
      </c>
      <c r="E964" t="s">
        <v>4</v>
      </c>
    </row>
    <row r="965" spans="1:5" x14ac:dyDescent="0.35">
      <c r="A965" t="s">
        <v>1066</v>
      </c>
      <c r="B965" t="s">
        <v>1540</v>
      </c>
      <c r="C965" t="s">
        <v>16</v>
      </c>
      <c r="D965">
        <v>243500</v>
      </c>
      <c r="E965" t="s">
        <v>4</v>
      </c>
    </row>
    <row r="966" spans="1:5" x14ac:dyDescent="0.35">
      <c r="A966" t="s">
        <v>1067</v>
      </c>
      <c r="B966" t="s">
        <v>1540</v>
      </c>
      <c r="C966" t="s">
        <v>16</v>
      </c>
      <c r="D966">
        <v>53500</v>
      </c>
      <c r="E966" t="s">
        <v>4</v>
      </c>
    </row>
    <row r="967" spans="1:5" x14ac:dyDescent="0.35">
      <c r="A967" t="s">
        <v>1068</v>
      </c>
      <c r="B967" t="s">
        <v>1543</v>
      </c>
      <c r="C967" t="s">
        <v>19</v>
      </c>
      <c r="D967">
        <v>136400</v>
      </c>
      <c r="E967" t="s">
        <v>4</v>
      </c>
    </row>
    <row r="968" spans="1:5" x14ac:dyDescent="0.35">
      <c r="A968" t="s">
        <v>1069</v>
      </c>
      <c r="B968" t="s">
        <v>1543</v>
      </c>
      <c r="C968" t="s">
        <v>19</v>
      </c>
      <c r="D968">
        <v>165500</v>
      </c>
      <c r="E968" t="s">
        <v>4</v>
      </c>
    </row>
    <row r="969" spans="1:5" x14ac:dyDescent="0.35">
      <c r="A969" t="s">
        <v>1070</v>
      </c>
      <c r="B969" t="s">
        <v>1594</v>
      </c>
      <c r="C969" t="s">
        <v>70</v>
      </c>
      <c r="D969">
        <v>66000</v>
      </c>
      <c r="E969" t="s">
        <v>4</v>
      </c>
    </row>
    <row r="970" spans="1:5" x14ac:dyDescent="0.35">
      <c r="A970" t="s">
        <v>1071</v>
      </c>
      <c r="B970" t="s">
        <v>1594</v>
      </c>
      <c r="C970" t="s">
        <v>70</v>
      </c>
      <c r="D970">
        <v>62000</v>
      </c>
      <c r="E970" t="s">
        <v>4</v>
      </c>
    </row>
    <row r="971" spans="1:5" x14ac:dyDescent="0.35">
      <c r="A971" t="s">
        <v>1072</v>
      </c>
      <c r="B971" t="s">
        <v>1543</v>
      </c>
      <c r="C971" t="s">
        <v>19</v>
      </c>
      <c r="D971">
        <v>131400</v>
      </c>
      <c r="E971" t="s">
        <v>4</v>
      </c>
    </row>
    <row r="972" spans="1:5" x14ac:dyDescent="0.35">
      <c r="A972" t="s">
        <v>1073</v>
      </c>
      <c r="B972" t="s">
        <v>1543</v>
      </c>
      <c r="C972" t="s">
        <v>19</v>
      </c>
      <c r="D972">
        <v>93800</v>
      </c>
      <c r="E972" t="s">
        <v>4</v>
      </c>
    </row>
    <row r="973" spans="1:5" x14ac:dyDescent="0.35">
      <c r="A973" t="s">
        <v>1074</v>
      </c>
      <c r="B973" t="s">
        <v>1542</v>
      </c>
      <c r="C973" t="s">
        <v>18</v>
      </c>
      <c r="D973">
        <v>183700</v>
      </c>
      <c r="E973" t="s">
        <v>4</v>
      </c>
    </row>
    <row r="974" spans="1:5" x14ac:dyDescent="0.35">
      <c r="A974" t="s">
        <v>1075</v>
      </c>
      <c r="B974" t="s">
        <v>1550</v>
      </c>
      <c r="C974" t="s">
        <v>26</v>
      </c>
      <c r="D974">
        <v>102600</v>
      </c>
      <c r="E974" t="s">
        <v>4</v>
      </c>
    </row>
    <row r="975" spans="1:5" x14ac:dyDescent="0.35">
      <c r="A975" t="s">
        <v>1076</v>
      </c>
      <c r="B975" t="s">
        <v>1562</v>
      </c>
      <c r="C975" t="s">
        <v>38</v>
      </c>
      <c r="D975">
        <v>69500</v>
      </c>
      <c r="E975" t="s">
        <v>4</v>
      </c>
    </row>
    <row r="976" spans="1:5" x14ac:dyDescent="0.35">
      <c r="A976" t="s">
        <v>1077</v>
      </c>
      <c r="B976" t="s">
        <v>1542</v>
      </c>
      <c r="C976" t="s">
        <v>18</v>
      </c>
      <c r="D976">
        <v>0</v>
      </c>
      <c r="E976" t="s">
        <v>4</v>
      </c>
    </row>
    <row r="977" spans="1:5" x14ac:dyDescent="0.35">
      <c r="A977" t="s">
        <v>1078</v>
      </c>
      <c r="B977" t="s">
        <v>1558</v>
      </c>
      <c r="C977" t="s">
        <v>34</v>
      </c>
      <c r="D977">
        <v>54000</v>
      </c>
      <c r="E977" t="s">
        <v>4</v>
      </c>
    </row>
    <row r="978" spans="1:5" x14ac:dyDescent="0.35">
      <c r="A978" t="s">
        <v>1079</v>
      </c>
      <c r="B978" t="s">
        <v>1558</v>
      </c>
      <c r="C978" t="s">
        <v>34</v>
      </c>
      <c r="D978">
        <v>43500</v>
      </c>
      <c r="E978" t="s">
        <v>4</v>
      </c>
    </row>
    <row r="979" spans="1:5" x14ac:dyDescent="0.35">
      <c r="A979" t="s">
        <v>1080</v>
      </c>
      <c r="B979" t="s">
        <v>1558</v>
      </c>
      <c r="C979" t="s">
        <v>34</v>
      </c>
      <c r="D979">
        <v>40200</v>
      </c>
      <c r="E979" t="s">
        <v>4</v>
      </c>
    </row>
    <row r="980" spans="1:5" x14ac:dyDescent="0.35">
      <c r="A980" t="s">
        <v>1081</v>
      </c>
      <c r="B980" t="s">
        <v>1618</v>
      </c>
      <c r="C980" t="s">
        <v>94</v>
      </c>
      <c r="D980">
        <v>196700</v>
      </c>
      <c r="E980" t="s">
        <v>4</v>
      </c>
    </row>
    <row r="981" spans="1:5" x14ac:dyDescent="0.35">
      <c r="A981" t="s">
        <v>1082</v>
      </c>
      <c r="B981" t="s">
        <v>1594</v>
      </c>
      <c r="C981" t="s">
        <v>70</v>
      </c>
      <c r="D981">
        <v>47500</v>
      </c>
      <c r="E981" t="s">
        <v>4</v>
      </c>
    </row>
    <row r="982" spans="1:5" x14ac:dyDescent="0.35">
      <c r="A982" t="s">
        <v>1083</v>
      </c>
      <c r="B982" t="s">
        <v>1610</v>
      </c>
      <c r="C982" t="s">
        <v>86</v>
      </c>
      <c r="D982">
        <v>43500</v>
      </c>
      <c r="E982" t="s">
        <v>4</v>
      </c>
    </row>
    <row r="983" spans="1:5" x14ac:dyDescent="0.35">
      <c r="A983" t="s">
        <v>1084</v>
      </c>
      <c r="B983" t="s">
        <v>1619</v>
      </c>
      <c r="C983" t="s">
        <v>95</v>
      </c>
      <c r="D983">
        <v>0</v>
      </c>
      <c r="E983" t="s">
        <v>4</v>
      </c>
    </row>
    <row r="984" spans="1:5" x14ac:dyDescent="0.35">
      <c r="A984" t="s">
        <v>1085</v>
      </c>
      <c r="B984" t="s">
        <v>1542</v>
      </c>
      <c r="C984" t="s">
        <v>18</v>
      </c>
      <c r="D984">
        <v>46800</v>
      </c>
      <c r="E984" t="s">
        <v>4</v>
      </c>
    </row>
    <row r="985" spans="1:5" x14ac:dyDescent="0.35">
      <c r="A985" t="s">
        <v>1086</v>
      </c>
      <c r="B985" t="s">
        <v>1620</v>
      </c>
      <c r="C985" t="s">
        <v>96</v>
      </c>
      <c r="D985">
        <v>130600</v>
      </c>
      <c r="E985" t="s">
        <v>4</v>
      </c>
    </row>
    <row r="986" spans="1:5" x14ac:dyDescent="0.35">
      <c r="A986" t="s">
        <v>1087</v>
      </c>
      <c r="B986" t="s">
        <v>1543</v>
      </c>
      <c r="C986" t="s">
        <v>19</v>
      </c>
      <c r="D986">
        <v>42500</v>
      </c>
      <c r="E986" t="s">
        <v>4</v>
      </c>
    </row>
    <row r="987" spans="1:5" x14ac:dyDescent="0.35">
      <c r="A987" t="s">
        <v>1088</v>
      </c>
      <c r="B987" t="s">
        <v>1538</v>
      </c>
      <c r="C987" t="s">
        <v>14</v>
      </c>
      <c r="D987">
        <v>192700</v>
      </c>
      <c r="E987" t="s">
        <v>4</v>
      </c>
    </row>
    <row r="988" spans="1:5" x14ac:dyDescent="0.35">
      <c r="A988" t="s">
        <v>1089</v>
      </c>
      <c r="B988" t="s">
        <v>1543</v>
      </c>
      <c r="C988" t="s">
        <v>19</v>
      </c>
      <c r="D988">
        <v>64400</v>
      </c>
      <c r="E988" t="s">
        <v>4</v>
      </c>
    </row>
    <row r="989" spans="1:5" x14ac:dyDescent="0.35">
      <c r="A989" t="s">
        <v>1090</v>
      </c>
      <c r="B989" t="s">
        <v>1543</v>
      </c>
      <c r="C989" t="s">
        <v>19</v>
      </c>
      <c r="D989">
        <v>72900</v>
      </c>
      <c r="E989" t="s">
        <v>4</v>
      </c>
    </row>
    <row r="990" spans="1:5" x14ac:dyDescent="0.35">
      <c r="A990" t="s">
        <v>1091</v>
      </c>
      <c r="B990" t="s">
        <v>1584</v>
      </c>
      <c r="C990" t="s">
        <v>60</v>
      </c>
      <c r="D990">
        <v>28800</v>
      </c>
      <c r="E990" t="s">
        <v>4</v>
      </c>
    </row>
    <row r="991" spans="1:5" x14ac:dyDescent="0.35">
      <c r="A991" t="s">
        <v>1092</v>
      </c>
      <c r="B991" t="s">
        <v>1542</v>
      </c>
      <c r="C991" t="s">
        <v>18</v>
      </c>
      <c r="D991">
        <v>185900</v>
      </c>
      <c r="E991" t="s">
        <v>4</v>
      </c>
    </row>
    <row r="992" spans="1:5" x14ac:dyDescent="0.35">
      <c r="A992" t="s">
        <v>1093</v>
      </c>
      <c r="B992" t="s">
        <v>1540</v>
      </c>
      <c r="C992" t="s">
        <v>16</v>
      </c>
      <c r="D992">
        <v>52100</v>
      </c>
      <c r="E992" t="s">
        <v>4</v>
      </c>
    </row>
    <row r="993" spans="1:5" x14ac:dyDescent="0.35">
      <c r="A993" t="s">
        <v>1094</v>
      </c>
      <c r="B993" t="s">
        <v>1540</v>
      </c>
      <c r="C993" t="s">
        <v>16</v>
      </c>
      <c r="D993">
        <v>64900</v>
      </c>
      <c r="E993" t="s">
        <v>4</v>
      </c>
    </row>
    <row r="994" spans="1:5" x14ac:dyDescent="0.35">
      <c r="A994" t="s">
        <v>1095</v>
      </c>
      <c r="B994" t="s">
        <v>1551</v>
      </c>
      <c r="C994" t="s">
        <v>27</v>
      </c>
      <c r="D994">
        <v>43300</v>
      </c>
      <c r="E994" t="s">
        <v>4</v>
      </c>
    </row>
    <row r="995" spans="1:5" x14ac:dyDescent="0.35">
      <c r="A995" t="s">
        <v>1096</v>
      </c>
      <c r="B995" t="s">
        <v>1542</v>
      </c>
      <c r="C995" t="s">
        <v>18</v>
      </c>
      <c r="D995">
        <v>130700</v>
      </c>
      <c r="E995" t="s">
        <v>4</v>
      </c>
    </row>
    <row r="996" spans="1:5" x14ac:dyDescent="0.35">
      <c r="A996" t="s">
        <v>1097</v>
      </c>
      <c r="B996" t="s">
        <v>1538</v>
      </c>
      <c r="C996" t="s">
        <v>14</v>
      </c>
      <c r="D996">
        <v>222900</v>
      </c>
      <c r="E996" t="s">
        <v>4</v>
      </c>
    </row>
    <row r="997" spans="1:5" x14ac:dyDescent="0.35">
      <c r="A997" t="s">
        <v>1098</v>
      </c>
      <c r="B997" t="s">
        <v>1576</v>
      </c>
      <c r="C997" t="s">
        <v>52</v>
      </c>
      <c r="D997">
        <v>39700</v>
      </c>
      <c r="E997" t="s">
        <v>4</v>
      </c>
    </row>
    <row r="998" spans="1:5" x14ac:dyDescent="0.35">
      <c r="A998" t="s">
        <v>1099</v>
      </c>
      <c r="B998" t="s">
        <v>1542</v>
      </c>
      <c r="C998" t="s">
        <v>18</v>
      </c>
      <c r="D998">
        <v>44400</v>
      </c>
      <c r="E998" t="s">
        <v>4</v>
      </c>
    </row>
    <row r="999" spans="1:5" x14ac:dyDescent="0.35">
      <c r="A999" t="s">
        <v>1100</v>
      </c>
      <c r="B999" t="s">
        <v>1538</v>
      </c>
      <c r="C999" t="s">
        <v>14</v>
      </c>
      <c r="D999">
        <v>166000</v>
      </c>
      <c r="E999" t="s">
        <v>4</v>
      </c>
    </row>
    <row r="1000" spans="1:5" x14ac:dyDescent="0.35">
      <c r="A1000" t="s">
        <v>1101</v>
      </c>
      <c r="B1000" t="s">
        <v>1542</v>
      </c>
      <c r="C1000" t="s">
        <v>18</v>
      </c>
      <c r="D1000">
        <v>0</v>
      </c>
      <c r="E1000" t="s">
        <v>4</v>
      </c>
    </row>
    <row r="1001" spans="1:5" x14ac:dyDescent="0.35">
      <c r="A1001" t="s">
        <v>1102</v>
      </c>
      <c r="B1001" t="s">
        <v>1551</v>
      </c>
      <c r="C1001" t="s">
        <v>27</v>
      </c>
      <c r="D1001">
        <v>68000</v>
      </c>
      <c r="E1001" t="s">
        <v>4</v>
      </c>
    </row>
    <row r="1002" spans="1:5" x14ac:dyDescent="0.35">
      <c r="A1002" t="s">
        <v>1103</v>
      </c>
      <c r="B1002" t="s">
        <v>1551</v>
      </c>
      <c r="C1002" t="s">
        <v>27</v>
      </c>
      <c r="D1002">
        <v>2500</v>
      </c>
      <c r="E1002" t="s">
        <v>4</v>
      </c>
    </row>
    <row r="1003" spans="1:5" x14ac:dyDescent="0.35">
      <c r="A1003" t="s">
        <v>1104</v>
      </c>
      <c r="B1003" t="s">
        <v>1594</v>
      </c>
      <c r="C1003" t="s">
        <v>70</v>
      </c>
      <c r="D1003">
        <v>55800</v>
      </c>
      <c r="E1003" t="s">
        <v>4</v>
      </c>
    </row>
    <row r="1004" spans="1:5" x14ac:dyDescent="0.35">
      <c r="A1004" t="s">
        <v>1105</v>
      </c>
      <c r="B1004" t="s">
        <v>1556</v>
      </c>
      <c r="C1004" t="s">
        <v>32</v>
      </c>
      <c r="D1004">
        <v>3500</v>
      </c>
      <c r="E1004" t="s">
        <v>4</v>
      </c>
    </row>
    <row r="1005" spans="1:5" x14ac:dyDescent="0.35">
      <c r="A1005" t="s">
        <v>1106</v>
      </c>
      <c r="B1005" t="s">
        <v>1540</v>
      </c>
      <c r="C1005" t="s">
        <v>16</v>
      </c>
      <c r="D1005">
        <v>4200</v>
      </c>
      <c r="E1005" t="s">
        <v>4</v>
      </c>
    </row>
    <row r="1006" spans="1:5" x14ac:dyDescent="0.35">
      <c r="A1006" t="s">
        <v>1107</v>
      </c>
      <c r="B1006" t="s">
        <v>1551</v>
      </c>
      <c r="C1006" t="s">
        <v>27</v>
      </c>
      <c r="D1006">
        <v>0</v>
      </c>
      <c r="E1006" t="s">
        <v>4</v>
      </c>
    </row>
    <row r="1007" spans="1:5" x14ac:dyDescent="0.35">
      <c r="A1007" t="s">
        <v>1108</v>
      </c>
      <c r="B1007" t="s">
        <v>1551</v>
      </c>
      <c r="C1007" t="s">
        <v>27</v>
      </c>
      <c r="D1007">
        <v>50200</v>
      </c>
      <c r="E1007" t="s">
        <v>4</v>
      </c>
    </row>
    <row r="1008" spans="1:5" x14ac:dyDescent="0.35">
      <c r="A1008" t="s">
        <v>1109</v>
      </c>
      <c r="B1008" t="s">
        <v>1579</v>
      </c>
      <c r="C1008" t="s">
        <v>55</v>
      </c>
      <c r="D1008">
        <v>139200</v>
      </c>
      <c r="E1008" t="s">
        <v>4</v>
      </c>
    </row>
    <row r="1009" spans="1:5" x14ac:dyDescent="0.35">
      <c r="A1009" t="s">
        <v>1110</v>
      </c>
      <c r="B1009" t="s">
        <v>1540</v>
      </c>
      <c r="C1009" t="s">
        <v>16</v>
      </c>
      <c r="D1009">
        <v>61900</v>
      </c>
      <c r="E1009" t="s">
        <v>4</v>
      </c>
    </row>
    <row r="1010" spans="1:5" x14ac:dyDescent="0.35">
      <c r="A1010" t="s">
        <v>1111</v>
      </c>
      <c r="B1010" t="s">
        <v>1542</v>
      </c>
      <c r="C1010" t="s">
        <v>18</v>
      </c>
      <c r="D1010">
        <v>195500</v>
      </c>
      <c r="E1010" t="s">
        <v>4</v>
      </c>
    </row>
    <row r="1011" spans="1:5" x14ac:dyDescent="0.35">
      <c r="A1011" t="s">
        <v>1112</v>
      </c>
      <c r="B1011" t="s">
        <v>1562</v>
      </c>
      <c r="C1011" t="s">
        <v>38</v>
      </c>
      <c r="D1011">
        <v>152400</v>
      </c>
      <c r="E1011" t="s">
        <v>4</v>
      </c>
    </row>
    <row r="1012" spans="1:5" x14ac:dyDescent="0.35">
      <c r="A1012" t="s">
        <v>1113</v>
      </c>
      <c r="B1012" t="s">
        <v>1543</v>
      </c>
      <c r="C1012" t="s">
        <v>19</v>
      </c>
      <c r="D1012">
        <v>47500</v>
      </c>
      <c r="E1012" t="s">
        <v>4</v>
      </c>
    </row>
    <row r="1013" spans="1:5" x14ac:dyDescent="0.35">
      <c r="A1013" t="s">
        <v>1114</v>
      </c>
      <c r="B1013" t="s">
        <v>1543</v>
      </c>
      <c r="C1013" t="s">
        <v>19</v>
      </c>
      <c r="D1013">
        <v>68400</v>
      </c>
      <c r="E1013" t="s">
        <v>4</v>
      </c>
    </row>
    <row r="1014" spans="1:5" x14ac:dyDescent="0.35">
      <c r="A1014" t="s">
        <v>1115</v>
      </c>
      <c r="B1014" t="s">
        <v>1543</v>
      </c>
      <c r="C1014" t="s">
        <v>19</v>
      </c>
      <c r="D1014">
        <v>64900</v>
      </c>
      <c r="E1014" t="s">
        <v>4</v>
      </c>
    </row>
    <row r="1015" spans="1:5" x14ac:dyDescent="0.35">
      <c r="A1015" t="s">
        <v>1116</v>
      </c>
      <c r="B1015" t="s">
        <v>1543</v>
      </c>
      <c r="C1015" t="s">
        <v>19</v>
      </c>
      <c r="D1015">
        <v>49500</v>
      </c>
      <c r="E1015" t="s">
        <v>4</v>
      </c>
    </row>
    <row r="1016" spans="1:5" x14ac:dyDescent="0.35">
      <c r="A1016" t="s">
        <v>1117</v>
      </c>
      <c r="B1016" t="s">
        <v>1540</v>
      </c>
      <c r="C1016" t="s">
        <v>16</v>
      </c>
      <c r="D1016">
        <v>235100</v>
      </c>
      <c r="E1016" t="s">
        <v>4</v>
      </c>
    </row>
    <row r="1017" spans="1:5" x14ac:dyDescent="0.35">
      <c r="A1017" t="s">
        <v>1118</v>
      </c>
      <c r="B1017" t="s">
        <v>1574</v>
      </c>
      <c r="C1017" t="s">
        <v>50</v>
      </c>
      <c r="D1017">
        <v>75500</v>
      </c>
      <c r="E1017" t="s">
        <v>4</v>
      </c>
    </row>
    <row r="1018" spans="1:5" x14ac:dyDescent="0.35">
      <c r="A1018" t="s">
        <v>1119</v>
      </c>
      <c r="B1018" t="s">
        <v>1568</v>
      </c>
      <c r="C1018" t="s">
        <v>44</v>
      </c>
      <c r="D1018">
        <v>88900</v>
      </c>
      <c r="E1018" t="s">
        <v>4</v>
      </c>
    </row>
    <row r="1019" spans="1:5" x14ac:dyDescent="0.35">
      <c r="A1019" t="s">
        <v>1120</v>
      </c>
      <c r="B1019" t="s">
        <v>1538</v>
      </c>
      <c r="C1019" t="s">
        <v>14</v>
      </c>
      <c r="D1019">
        <v>61900</v>
      </c>
      <c r="E1019" t="s">
        <v>4</v>
      </c>
    </row>
    <row r="1020" spans="1:5" x14ac:dyDescent="0.35">
      <c r="A1020" t="s">
        <v>1121</v>
      </c>
      <c r="B1020" t="s">
        <v>1594</v>
      </c>
      <c r="C1020" t="s">
        <v>70</v>
      </c>
      <c r="D1020">
        <v>46200</v>
      </c>
      <c r="E1020" t="s">
        <v>4</v>
      </c>
    </row>
    <row r="1021" spans="1:5" x14ac:dyDescent="0.35">
      <c r="A1021" t="s">
        <v>1122</v>
      </c>
      <c r="B1021" t="s">
        <v>1553</v>
      </c>
      <c r="C1021" t="s">
        <v>29</v>
      </c>
      <c r="D1021">
        <v>56600</v>
      </c>
      <c r="E1021" t="s">
        <v>4</v>
      </c>
    </row>
    <row r="1022" spans="1:5" x14ac:dyDescent="0.35">
      <c r="A1022" t="s">
        <v>1123</v>
      </c>
      <c r="B1022" t="s">
        <v>1538</v>
      </c>
      <c r="C1022" t="s">
        <v>14</v>
      </c>
      <c r="D1022">
        <v>67400</v>
      </c>
      <c r="E1022" t="s">
        <v>4</v>
      </c>
    </row>
    <row r="1023" spans="1:5" x14ac:dyDescent="0.35">
      <c r="A1023" t="s">
        <v>1124</v>
      </c>
      <c r="B1023" t="s">
        <v>1621</v>
      </c>
      <c r="C1023" t="s">
        <v>97</v>
      </c>
      <c r="D1023">
        <v>119200</v>
      </c>
      <c r="E1023" t="s">
        <v>4</v>
      </c>
    </row>
    <row r="1024" spans="1:5" x14ac:dyDescent="0.35">
      <c r="A1024" t="s">
        <v>1125</v>
      </c>
      <c r="B1024" t="s">
        <v>1570</v>
      </c>
      <c r="C1024" t="s">
        <v>46</v>
      </c>
      <c r="D1024">
        <v>1600</v>
      </c>
      <c r="E1024" t="s">
        <v>4</v>
      </c>
    </row>
    <row r="1025" spans="1:5" x14ac:dyDescent="0.35">
      <c r="A1025" t="s">
        <v>1126</v>
      </c>
      <c r="B1025" t="s">
        <v>1540</v>
      </c>
      <c r="C1025" t="s">
        <v>16</v>
      </c>
      <c r="D1025">
        <v>12600</v>
      </c>
      <c r="E1025" t="s">
        <v>4</v>
      </c>
    </row>
    <row r="1026" spans="1:5" x14ac:dyDescent="0.35">
      <c r="A1026" t="s">
        <v>1127</v>
      </c>
      <c r="B1026" t="s">
        <v>1554</v>
      </c>
      <c r="C1026" t="s">
        <v>30</v>
      </c>
      <c r="D1026">
        <v>11100</v>
      </c>
      <c r="E1026" t="s">
        <v>4</v>
      </c>
    </row>
    <row r="1027" spans="1:5" x14ac:dyDescent="0.35">
      <c r="A1027" t="s">
        <v>1128</v>
      </c>
      <c r="B1027" t="s">
        <v>1563</v>
      </c>
      <c r="C1027" t="s">
        <v>39</v>
      </c>
      <c r="D1027">
        <v>25300</v>
      </c>
      <c r="E1027" t="s">
        <v>4</v>
      </c>
    </row>
    <row r="1028" spans="1:5" x14ac:dyDescent="0.35">
      <c r="A1028" t="s">
        <v>1129</v>
      </c>
      <c r="B1028" t="s">
        <v>1553</v>
      </c>
      <c r="C1028" t="s">
        <v>29</v>
      </c>
      <c r="D1028">
        <v>8500</v>
      </c>
      <c r="E1028" t="s">
        <v>4</v>
      </c>
    </row>
    <row r="1029" spans="1:5" x14ac:dyDescent="0.35">
      <c r="A1029" t="s">
        <v>1130</v>
      </c>
      <c r="B1029" t="s">
        <v>1558</v>
      </c>
      <c r="C1029" t="s">
        <v>34</v>
      </c>
      <c r="D1029">
        <v>10900</v>
      </c>
      <c r="E1029" t="s">
        <v>4</v>
      </c>
    </row>
    <row r="1030" spans="1:5" x14ac:dyDescent="0.35">
      <c r="A1030" t="s">
        <v>1131</v>
      </c>
      <c r="B1030" t="s">
        <v>1608</v>
      </c>
      <c r="C1030" t="s">
        <v>84</v>
      </c>
      <c r="D1030">
        <v>5000</v>
      </c>
      <c r="E1030" t="s">
        <v>4</v>
      </c>
    </row>
    <row r="1031" spans="1:5" x14ac:dyDescent="0.35">
      <c r="A1031" t="s">
        <v>1132</v>
      </c>
      <c r="B1031" t="s">
        <v>1594</v>
      </c>
      <c r="C1031" t="s">
        <v>70</v>
      </c>
      <c r="D1031">
        <v>1800</v>
      </c>
      <c r="E1031" t="s">
        <v>4</v>
      </c>
    </row>
    <row r="1032" spans="1:5" x14ac:dyDescent="0.35">
      <c r="A1032" t="s">
        <v>1133</v>
      </c>
      <c r="B1032" t="s">
        <v>1608</v>
      </c>
      <c r="C1032" t="s">
        <v>84</v>
      </c>
      <c r="D1032">
        <v>4600</v>
      </c>
      <c r="E1032" t="s">
        <v>4</v>
      </c>
    </row>
    <row r="1033" spans="1:5" x14ac:dyDescent="0.35">
      <c r="A1033" t="s">
        <v>1134</v>
      </c>
      <c r="B1033" t="s">
        <v>1545</v>
      </c>
      <c r="C1033" t="s">
        <v>21</v>
      </c>
      <c r="D1033">
        <v>50400</v>
      </c>
      <c r="E1033" t="s">
        <v>4</v>
      </c>
    </row>
    <row r="1034" spans="1:5" x14ac:dyDescent="0.35">
      <c r="A1034" t="s">
        <v>1135</v>
      </c>
      <c r="B1034" t="s">
        <v>1542</v>
      </c>
      <c r="C1034" t="s">
        <v>18</v>
      </c>
      <c r="D1034">
        <v>55000</v>
      </c>
      <c r="E1034" t="s">
        <v>4</v>
      </c>
    </row>
    <row r="1035" spans="1:5" x14ac:dyDescent="0.35">
      <c r="A1035" t="s">
        <v>1136</v>
      </c>
      <c r="B1035" t="s">
        <v>1544</v>
      </c>
      <c r="C1035" t="s">
        <v>20</v>
      </c>
      <c r="D1035">
        <v>0</v>
      </c>
      <c r="E1035" t="s">
        <v>4</v>
      </c>
    </row>
    <row r="1036" spans="1:5" x14ac:dyDescent="0.35">
      <c r="A1036" t="s">
        <v>1137</v>
      </c>
      <c r="B1036" t="s">
        <v>1544</v>
      </c>
      <c r="C1036" t="s">
        <v>20</v>
      </c>
      <c r="D1036">
        <v>0</v>
      </c>
      <c r="E1036" t="s">
        <v>4</v>
      </c>
    </row>
    <row r="1037" spans="1:5" x14ac:dyDescent="0.35">
      <c r="A1037" t="s">
        <v>1138</v>
      </c>
      <c r="B1037" t="s">
        <v>1544</v>
      </c>
      <c r="C1037" t="s">
        <v>20</v>
      </c>
      <c r="D1037">
        <v>0</v>
      </c>
      <c r="E1037" t="s">
        <v>4</v>
      </c>
    </row>
    <row r="1038" spans="1:5" x14ac:dyDescent="0.35">
      <c r="A1038" t="s">
        <v>1139</v>
      </c>
      <c r="B1038" t="s">
        <v>1610</v>
      </c>
      <c r="C1038" t="s">
        <v>86</v>
      </c>
      <c r="D1038">
        <v>33200</v>
      </c>
      <c r="E1038" t="s">
        <v>4</v>
      </c>
    </row>
    <row r="1039" spans="1:5" x14ac:dyDescent="0.35">
      <c r="A1039" t="s">
        <v>1140</v>
      </c>
      <c r="B1039" t="s">
        <v>1538</v>
      </c>
      <c r="C1039" t="s">
        <v>14</v>
      </c>
      <c r="D1039">
        <v>65200</v>
      </c>
      <c r="E1039" t="s">
        <v>4</v>
      </c>
    </row>
    <row r="1040" spans="1:5" x14ac:dyDescent="0.35">
      <c r="A1040" t="s">
        <v>1141</v>
      </c>
      <c r="B1040" t="s">
        <v>1538</v>
      </c>
      <c r="C1040" t="s">
        <v>14</v>
      </c>
      <c r="D1040">
        <v>62900</v>
      </c>
      <c r="E1040" t="s">
        <v>4</v>
      </c>
    </row>
    <row r="1041" spans="1:5" x14ac:dyDescent="0.35">
      <c r="A1041" t="s">
        <v>1142</v>
      </c>
      <c r="B1041" t="s">
        <v>1576</v>
      </c>
      <c r="C1041" t="s">
        <v>52</v>
      </c>
      <c r="D1041">
        <v>219800</v>
      </c>
      <c r="E1041" t="s">
        <v>4</v>
      </c>
    </row>
    <row r="1042" spans="1:5" x14ac:dyDescent="0.35">
      <c r="A1042" t="s">
        <v>1143</v>
      </c>
      <c r="B1042" t="s">
        <v>1538</v>
      </c>
      <c r="C1042" t="s">
        <v>14</v>
      </c>
      <c r="D1042">
        <v>54900</v>
      </c>
      <c r="E1042" t="s">
        <v>4</v>
      </c>
    </row>
    <row r="1043" spans="1:5" x14ac:dyDescent="0.35">
      <c r="A1043" t="s">
        <v>1144</v>
      </c>
      <c r="B1043" t="s">
        <v>1543</v>
      </c>
      <c r="C1043" t="s">
        <v>19</v>
      </c>
      <c r="D1043">
        <v>145100</v>
      </c>
      <c r="E1043" t="s">
        <v>4</v>
      </c>
    </row>
    <row r="1044" spans="1:5" x14ac:dyDescent="0.35">
      <c r="A1044" t="s">
        <v>1145</v>
      </c>
      <c r="B1044" t="s">
        <v>1543</v>
      </c>
      <c r="C1044" t="s">
        <v>19</v>
      </c>
      <c r="D1044">
        <v>98200</v>
      </c>
      <c r="E1044" t="s">
        <v>4</v>
      </c>
    </row>
    <row r="1045" spans="1:5" x14ac:dyDescent="0.35">
      <c r="A1045" t="s">
        <v>1146</v>
      </c>
      <c r="B1045" t="s">
        <v>1540</v>
      </c>
      <c r="C1045" t="s">
        <v>16</v>
      </c>
      <c r="D1045">
        <v>47400</v>
      </c>
      <c r="E1045" t="s">
        <v>4</v>
      </c>
    </row>
    <row r="1046" spans="1:5" x14ac:dyDescent="0.35">
      <c r="A1046" t="s">
        <v>1147</v>
      </c>
      <c r="B1046" t="s">
        <v>1539</v>
      </c>
      <c r="C1046" t="s">
        <v>15</v>
      </c>
      <c r="D1046">
        <v>68500</v>
      </c>
      <c r="E1046" t="s">
        <v>4</v>
      </c>
    </row>
    <row r="1047" spans="1:5" x14ac:dyDescent="0.35">
      <c r="A1047" t="s">
        <v>1148</v>
      </c>
      <c r="B1047" t="s">
        <v>1539</v>
      </c>
      <c r="C1047" t="s">
        <v>15</v>
      </c>
      <c r="D1047">
        <v>55400</v>
      </c>
      <c r="E1047" t="s">
        <v>4</v>
      </c>
    </row>
    <row r="1048" spans="1:5" x14ac:dyDescent="0.35">
      <c r="A1048" t="s">
        <v>1149</v>
      </c>
      <c r="B1048" t="s">
        <v>1541</v>
      </c>
      <c r="C1048" t="s">
        <v>17</v>
      </c>
      <c r="D1048">
        <v>131700</v>
      </c>
      <c r="E1048" t="s">
        <v>4</v>
      </c>
    </row>
    <row r="1049" spans="1:5" x14ac:dyDescent="0.35">
      <c r="A1049" t="s">
        <v>1150</v>
      </c>
      <c r="B1049" t="s">
        <v>1542</v>
      </c>
      <c r="C1049" t="s">
        <v>18</v>
      </c>
      <c r="D1049">
        <v>26000</v>
      </c>
      <c r="E1049" t="s">
        <v>4</v>
      </c>
    </row>
    <row r="1050" spans="1:5" x14ac:dyDescent="0.35">
      <c r="A1050" t="s">
        <v>1151</v>
      </c>
      <c r="B1050" t="s">
        <v>1614</v>
      </c>
      <c r="C1050" t="s">
        <v>90</v>
      </c>
      <c r="D1050">
        <v>201300</v>
      </c>
      <c r="E1050" t="s">
        <v>4</v>
      </c>
    </row>
    <row r="1051" spans="1:5" x14ac:dyDescent="0.35">
      <c r="A1051" t="s">
        <v>1152</v>
      </c>
      <c r="B1051" t="s">
        <v>1556</v>
      </c>
      <c r="C1051" t="s">
        <v>32</v>
      </c>
      <c r="D1051">
        <v>191400</v>
      </c>
      <c r="E1051" t="s">
        <v>4</v>
      </c>
    </row>
    <row r="1052" spans="1:5" x14ac:dyDescent="0.35">
      <c r="A1052" t="s">
        <v>1153</v>
      </c>
      <c r="B1052" t="s">
        <v>1543</v>
      </c>
      <c r="C1052" t="s">
        <v>19</v>
      </c>
      <c r="D1052">
        <v>87000</v>
      </c>
      <c r="E1052" t="s">
        <v>4</v>
      </c>
    </row>
    <row r="1053" spans="1:5" x14ac:dyDescent="0.35">
      <c r="A1053" t="s">
        <v>1154</v>
      </c>
      <c r="B1053" t="s">
        <v>1543</v>
      </c>
      <c r="C1053" t="s">
        <v>19</v>
      </c>
      <c r="D1053">
        <v>104600</v>
      </c>
      <c r="E1053" t="s">
        <v>4</v>
      </c>
    </row>
    <row r="1054" spans="1:5" x14ac:dyDescent="0.35">
      <c r="A1054" t="s">
        <v>1155</v>
      </c>
      <c r="B1054" t="s">
        <v>1538</v>
      </c>
      <c r="C1054" t="s">
        <v>14</v>
      </c>
      <c r="D1054">
        <v>59200</v>
      </c>
      <c r="E1054" t="s">
        <v>4</v>
      </c>
    </row>
    <row r="1055" spans="1:5" x14ac:dyDescent="0.35">
      <c r="A1055" t="s">
        <v>1156</v>
      </c>
      <c r="B1055" t="s">
        <v>1542</v>
      </c>
      <c r="C1055" t="s">
        <v>18</v>
      </c>
      <c r="D1055">
        <v>139700</v>
      </c>
      <c r="E1055" t="s">
        <v>4</v>
      </c>
    </row>
    <row r="1056" spans="1:5" x14ac:dyDescent="0.35">
      <c r="A1056" t="s">
        <v>1157</v>
      </c>
      <c r="B1056" t="s">
        <v>1540</v>
      </c>
      <c r="C1056" t="s">
        <v>16</v>
      </c>
      <c r="D1056">
        <v>48200</v>
      </c>
      <c r="E1056" t="s">
        <v>4</v>
      </c>
    </row>
    <row r="1057" spans="1:5" x14ac:dyDescent="0.35">
      <c r="A1057" t="s">
        <v>1158</v>
      </c>
      <c r="B1057" t="s">
        <v>1583</v>
      </c>
      <c r="C1057" t="s">
        <v>59</v>
      </c>
      <c r="D1057">
        <v>57200</v>
      </c>
      <c r="E1057" t="s">
        <v>4</v>
      </c>
    </row>
    <row r="1058" spans="1:5" x14ac:dyDescent="0.35">
      <c r="A1058" t="s">
        <v>1159</v>
      </c>
      <c r="B1058" t="s">
        <v>1600</v>
      </c>
      <c r="C1058" t="s">
        <v>76</v>
      </c>
      <c r="D1058">
        <v>54400</v>
      </c>
      <c r="E1058" t="s">
        <v>4</v>
      </c>
    </row>
    <row r="1059" spans="1:5" x14ac:dyDescent="0.35">
      <c r="A1059" t="s">
        <v>1160</v>
      </c>
      <c r="B1059" t="s">
        <v>1543</v>
      </c>
      <c r="C1059" t="s">
        <v>19</v>
      </c>
      <c r="D1059">
        <v>228800</v>
      </c>
      <c r="E1059" t="s">
        <v>4</v>
      </c>
    </row>
    <row r="1060" spans="1:5" x14ac:dyDescent="0.35">
      <c r="A1060" t="s">
        <v>1161</v>
      </c>
      <c r="B1060" t="s">
        <v>1542</v>
      </c>
      <c r="C1060" t="s">
        <v>18</v>
      </c>
      <c r="D1060">
        <v>11300</v>
      </c>
      <c r="E1060" t="s">
        <v>4</v>
      </c>
    </row>
    <row r="1061" spans="1:5" x14ac:dyDescent="0.35">
      <c r="A1061" t="s">
        <v>1162</v>
      </c>
      <c r="B1061" t="s">
        <v>1542</v>
      </c>
      <c r="C1061" t="s">
        <v>18</v>
      </c>
      <c r="D1061">
        <v>122100</v>
      </c>
      <c r="E1061" t="s">
        <v>4</v>
      </c>
    </row>
    <row r="1062" spans="1:5" x14ac:dyDescent="0.35">
      <c r="A1062" t="s">
        <v>1163</v>
      </c>
      <c r="B1062" t="s">
        <v>1542</v>
      </c>
      <c r="C1062" t="s">
        <v>18</v>
      </c>
      <c r="D1062">
        <v>151900</v>
      </c>
      <c r="E1062" t="s">
        <v>4</v>
      </c>
    </row>
    <row r="1063" spans="1:5" x14ac:dyDescent="0.35">
      <c r="A1063" t="s">
        <v>1164</v>
      </c>
      <c r="B1063" t="s">
        <v>1618</v>
      </c>
      <c r="C1063" t="s">
        <v>94</v>
      </c>
      <c r="D1063">
        <v>113800</v>
      </c>
      <c r="E1063" t="s">
        <v>4</v>
      </c>
    </row>
    <row r="1064" spans="1:5" x14ac:dyDescent="0.35">
      <c r="A1064" t="s">
        <v>1165</v>
      </c>
      <c r="B1064" t="s">
        <v>1542</v>
      </c>
      <c r="C1064" t="s">
        <v>18</v>
      </c>
      <c r="D1064">
        <v>57400</v>
      </c>
      <c r="E1064" t="s">
        <v>4</v>
      </c>
    </row>
    <row r="1065" spans="1:5" x14ac:dyDescent="0.35">
      <c r="A1065" t="s">
        <v>1166</v>
      </c>
      <c r="B1065" t="s">
        <v>1534</v>
      </c>
      <c r="C1065" t="s">
        <v>10</v>
      </c>
      <c r="D1065">
        <v>56300</v>
      </c>
      <c r="E1065" t="s">
        <v>4</v>
      </c>
    </row>
    <row r="1066" spans="1:5" x14ac:dyDescent="0.35">
      <c r="A1066" t="s">
        <v>1167</v>
      </c>
      <c r="B1066" t="s">
        <v>1534</v>
      </c>
      <c r="C1066" t="s">
        <v>10</v>
      </c>
      <c r="D1066">
        <v>186500</v>
      </c>
      <c r="E1066" t="s">
        <v>4</v>
      </c>
    </row>
    <row r="1067" spans="1:5" x14ac:dyDescent="0.35">
      <c r="A1067" t="s">
        <v>1168</v>
      </c>
      <c r="B1067" t="s">
        <v>1534</v>
      </c>
      <c r="C1067" t="s">
        <v>10</v>
      </c>
      <c r="D1067">
        <v>241200</v>
      </c>
      <c r="E1067" t="s">
        <v>4</v>
      </c>
    </row>
    <row r="1068" spans="1:5" x14ac:dyDescent="0.35">
      <c r="A1068" t="s">
        <v>1169</v>
      </c>
      <c r="B1068" t="s">
        <v>1534</v>
      </c>
      <c r="C1068" t="s">
        <v>10</v>
      </c>
      <c r="D1068">
        <v>42900</v>
      </c>
      <c r="E1068" t="s">
        <v>4</v>
      </c>
    </row>
    <row r="1069" spans="1:5" x14ac:dyDescent="0.35">
      <c r="A1069" t="s">
        <v>1170</v>
      </c>
      <c r="B1069" t="s">
        <v>1543</v>
      </c>
      <c r="C1069" t="s">
        <v>19</v>
      </c>
      <c r="D1069">
        <v>57200</v>
      </c>
      <c r="E1069" t="s">
        <v>4</v>
      </c>
    </row>
    <row r="1070" spans="1:5" x14ac:dyDescent="0.35">
      <c r="A1070" t="s">
        <v>1171</v>
      </c>
      <c r="B1070" t="s">
        <v>1543</v>
      </c>
      <c r="C1070" t="s">
        <v>19</v>
      </c>
      <c r="D1070">
        <v>74300</v>
      </c>
      <c r="E1070" t="s">
        <v>4</v>
      </c>
    </row>
    <row r="1071" spans="1:5" x14ac:dyDescent="0.35">
      <c r="A1071" t="s">
        <v>1172</v>
      </c>
      <c r="B1071" t="s">
        <v>1550</v>
      </c>
      <c r="C1071" t="s">
        <v>26</v>
      </c>
      <c r="D1071">
        <v>77000</v>
      </c>
      <c r="E1071" t="s">
        <v>4</v>
      </c>
    </row>
    <row r="1072" spans="1:5" x14ac:dyDescent="0.35">
      <c r="A1072" t="s">
        <v>1173</v>
      </c>
      <c r="B1072" t="s">
        <v>1538</v>
      </c>
      <c r="C1072" t="s">
        <v>14</v>
      </c>
      <c r="D1072">
        <v>69900</v>
      </c>
      <c r="E1072" t="s">
        <v>4</v>
      </c>
    </row>
    <row r="1073" spans="1:5" x14ac:dyDescent="0.35">
      <c r="A1073" t="s">
        <v>1174</v>
      </c>
      <c r="B1073" t="s">
        <v>1542</v>
      </c>
      <c r="C1073" t="s">
        <v>18</v>
      </c>
      <c r="D1073">
        <v>68500</v>
      </c>
      <c r="E1073" t="s">
        <v>4</v>
      </c>
    </row>
    <row r="1074" spans="1:5" x14ac:dyDescent="0.35">
      <c r="A1074" t="s">
        <v>1175</v>
      </c>
      <c r="B1074" t="s">
        <v>1538</v>
      </c>
      <c r="C1074" t="s">
        <v>14</v>
      </c>
      <c r="D1074">
        <v>196400</v>
      </c>
      <c r="E1074" t="s">
        <v>4</v>
      </c>
    </row>
    <row r="1075" spans="1:5" x14ac:dyDescent="0.35">
      <c r="A1075" t="s">
        <v>1176</v>
      </c>
      <c r="B1075" t="s">
        <v>1538</v>
      </c>
      <c r="C1075" t="s">
        <v>14</v>
      </c>
      <c r="D1075">
        <v>183000</v>
      </c>
      <c r="E1075" t="s">
        <v>4</v>
      </c>
    </row>
    <row r="1076" spans="1:5" x14ac:dyDescent="0.35">
      <c r="A1076" t="s">
        <v>1177</v>
      </c>
      <c r="B1076" t="s">
        <v>1622</v>
      </c>
      <c r="C1076" t="s">
        <v>98</v>
      </c>
      <c r="D1076">
        <v>181400</v>
      </c>
      <c r="E1076" t="s">
        <v>4</v>
      </c>
    </row>
    <row r="1077" spans="1:5" x14ac:dyDescent="0.35">
      <c r="A1077" t="s">
        <v>1178</v>
      </c>
      <c r="B1077" t="s">
        <v>1542</v>
      </c>
      <c r="C1077" t="s">
        <v>18</v>
      </c>
      <c r="D1077">
        <v>174600</v>
      </c>
      <c r="E1077" t="s">
        <v>4</v>
      </c>
    </row>
    <row r="1078" spans="1:5" x14ac:dyDescent="0.35">
      <c r="A1078" t="s">
        <v>1179</v>
      </c>
      <c r="B1078" t="s">
        <v>1558</v>
      </c>
      <c r="C1078" t="s">
        <v>34</v>
      </c>
      <c r="D1078">
        <v>35700</v>
      </c>
      <c r="E1078" t="s">
        <v>4</v>
      </c>
    </row>
    <row r="1079" spans="1:5" x14ac:dyDescent="0.35">
      <c r="A1079" t="s">
        <v>1180</v>
      </c>
      <c r="B1079" t="s">
        <v>1576</v>
      </c>
      <c r="C1079" t="s">
        <v>52</v>
      </c>
      <c r="D1079">
        <v>259000</v>
      </c>
      <c r="E1079" t="s">
        <v>4</v>
      </c>
    </row>
    <row r="1080" spans="1:5" x14ac:dyDescent="0.35">
      <c r="A1080" t="s">
        <v>1181</v>
      </c>
      <c r="B1080" t="s">
        <v>1538</v>
      </c>
      <c r="C1080" t="s">
        <v>14</v>
      </c>
      <c r="D1080">
        <v>62300</v>
      </c>
      <c r="E1080" t="s">
        <v>4</v>
      </c>
    </row>
    <row r="1081" spans="1:5" x14ac:dyDescent="0.35">
      <c r="A1081" t="s">
        <v>1182</v>
      </c>
      <c r="B1081" t="s">
        <v>1553</v>
      </c>
      <c r="C1081" t="s">
        <v>29</v>
      </c>
      <c r="D1081">
        <v>110500</v>
      </c>
      <c r="E1081" t="s">
        <v>4</v>
      </c>
    </row>
    <row r="1082" spans="1:5" x14ac:dyDescent="0.35">
      <c r="A1082" t="s">
        <v>1183</v>
      </c>
      <c r="B1082" t="s">
        <v>1539</v>
      </c>
      <c r="C1082" t="s">
        <v>15</v>
      </c>
      <c r="D1082">
        <v>55800</v>
      </c>
      <c r="E1082" t="s">
        <v>4</v>
      </c>
    </row>
    <row r="1083" spans="1:5" x14ac:dyDescent="0.35">
      <c r="A1083" t="s">
        <v>1184</v>
      </c>
      <c r="B1083" t="s">
        <v>1542</v>
      </c>
      <c r="C1083" t="s">
        <v>18</v>
      </c>
      <c r="D1083">
        <v>112900</v>
      </c>
      <c r="E1083" t="s">
        <v>4</v>
      </c>
    </row>
    <row r="1084" spans="1:5" x14ac:dyDescent="0.35">
      <c r="A1084" t="s">
        <v>1185</v>
      </c>
      <c r="B1084" t="s">
        <v>1543</v>
      </c>
      <c r="C1084" t="s">
        <v>19</v>
      </c>
      <c r="D1084">
        <v>33100</v>
      </c>
      <c r="E1084" t="s">
        <v>4</v>
      </c>
    </row>
    <row r="1085" spans="1:5" x14ac:dyDescent="0.35">
      <c r="A1085" t="s">
        <v>1186</v>
      </c>
      <c r="B1085" t="s">
        <v>1563</v>
      </c>
      <c r="C1085" t="s">
        <v>39</v>
      </c>
      <c r="D1085">
        <v>0</v>
      </c>
      <c r="E1085" t="s">
        <v>4</v>
      </c>
    </row>
    <row r="1086" spans="1:5" x14ac:dyDescent="0.35">
      <c r="A1086" t="s">
        <v>1187</v>
      </c>
      <c r="B1086" t="s">
        <v>1623</v>
      </c>
      <c r="C1086" t="s">
        <v>99</v>
      </c>
      <c r="D1086">
        <v>55900</v>
      </c>
      <c r="E1086" t="s">
        <v>4</v>
      </c>
    </row>
    <row r="1087" spans="1:5" x14ac:dyDescent="0.35">
      <c r="A1087" t="s">
        <v>1188</v>
      </c>
      <c r="B1087" t="s">
        <v>1565</v>
      </c>
      <c r="C1087" t="s">
        <v>41</v>
      </c>
      <c r="D1087">
        <v>89700</v>
      </c>
      <c r="E1087" t="s">
        <v>4</v>
      </c>
    </row>
    <row r="1088" spans="1:5" x14ac:dyDescent="0.35">
      <c r="A1088" t="s">
        <v>1189</v>
      </c>
      <c r="B1088" t="s">
        <v>1565</v>
      </c>
      <c r="C1088" t="s">
        <v>41</v>
      </c>
      <c r="D1088">
        <v>107600</v>
      </c>
      <c r="E1088" t="s">
        <v>4</v>
      </c>
    </row>
    <row r="1089" spans="1:5" x14ac:dyDescent="0.35">
      <c r="A1089" t="s">
        <v>1190</v>
      </c>
      <c r="B1089" t="s">
        <v>1568</v>
      </c>
      <c r="C1089" t="s">
        <v>44</v>
      </c>
      <c r="D1089">
        <v>258100</v>
      </c>
      <c r="E1089" t="s">
        <v>4</v>
      </c>
    </row>
    <row r="1090" spans="1:5" x14ac:dyDescent="0.35">
      <c r="A1090" t="s">
        <v>1191</v>
      </c>
      <c r="B1090" t="s">
        <v>1583</v>
      </c>
      <c r="C1090" t="s">
        <v>59</v>
      </c>
      <c r="D1090">
        <v>69900</v>
      </c>
      <c r="E1090" t="s">
        <v>4</v>
      </c>
    </row>
    <row r="1091" spans="1:5" x14ac:dyDescent="0.35">
      <c r="A1091" t="s">
        <v>1192</v>
      </c>
      <c r="B1091" t="s">
        <v>1619</v>
      </c>
      <c r="C1091" t="s">
        <v>95</v>
      </c>
      <c r="D1091">
        <v>255500</v>
      </c>
      <c r="E1091" t="s">
        <v>4</v>
      </c>
    </row>
    <row r="1092" spans="1:5" x14ac:dyDescent="0.35">
      <c r="A1092" t="s">
        <v>1193</v>
      </c>
      <c r="B1092" t="s">
        <v>1558</v>
      </c>
      <c r="C1092" t="s">
        <v>34</v>
      </c>
      <c r="D1092">
        <v>58200</v>
      </c>
      <c r="E1092" t="s">
        <v>4</v>
      </c>
    </row>
    <row r="1093" spans="1:5" x14ac:dyDescent="0.35">
      <c r="A1093" t="s">
        <v>1194</v>
      </c>
      <c r="B1093" t="s">
        <v>1607</v>
      </c>
      <c r="C1093" t="s">
        <v>83</v>
      </c>
      <c r="D1093">
        <v>111200</v>
      </c>
      <c r="E1093" t="s">
        <v>4</v>
      </c>
    </row>
    <row r="1094" spans="1:5" x14ac:dyDescent="0.35">
      <c r="A1094" t="s">
        <v>1195</v>
      </c>
      <c r="B1094" t="s">
        <v>1540</v>
      </c>
      <c r="C1094" t="s">
        <v>16</v>
      </c>
      <c r="D1094">
        <v>49200</v>
      </c>
      <c r="E1094" t="s">
        <v>4</v>
      </c>
    </row>
    <row r="1095" spans="1:5" x14ac:dyDescent="0.35">
      <c r="A1095" t="s">
        <v>1196</v>
      </c>
      <c r="B1095" t="s">
        <v>1553</v>
      </c>
      <c r="C1095" t="s">
        <v>29</v>
      </c>
      <c r="D1095">
        <v>82100</v>
      </c>
      <c r="E1095" t="s">
        <v>4</v>
      </c>
    </row>
    <row r="1096" spans="1:5" x14ac:dyDescent="0.35">
      <c r="A1096" t="s">
        <v>1197</v>
      </c>
      <c r="B1096" t="s">
        <v>1536</v>
      </c>
      <c r="C1096" t="s">
        <v>12</v>
      </c>
      <c r="D1096">
        <v>60400</v>
      </c>
      <c r="E1096" t="s">
        <v>4</v>
      </c>
    </row>
    <row r="1097" spans="1:5" x14ac:dyDescent="0.35">
      <c r="A1097" t="s">
        <v>1198</v>
      </c>
      <c r="B1097" t="s">
        <v>1536</v>
      </c>
      <c r="C1097" t="s">
        <v>12</v>
      </c>
      <c r="D1097">
        <v>53700</v>
      </c>
      <c r="E1097" t="s">
        <v>4</v>
      </c>
    </row>
    <row r="1098" spans="1:5" x14ac:dyDescent="0.35">
      <c r="A1098" t="s">
        <v>1199</v>
      </c>
      <c r="B1098" t="s">
        <v>1542</v>
      </c>
      <c r="C1098" t="s">
        <v>18</v>
      </c>
      <c r="D1098">
        <v>25800</v>
      </c>
      <c r="E1098" t="s">
        <v>4</v>
      </c>
    </row>
    <row r="1099" spans="1:5" x14ac:dyDescent="0.35">
      <c r="A1099" t="s">
        <v>1200</v>
      </c>
      <c r="B1099" t="s">
        <v>1536</v>
      </c>
      <c r="C1099" t="s">
        <v>12</v>
      </c>
      <c r="D1099">
        <v>48300</v>
      </c>
      <c r="E1099" t="s">
        <v>4</v>
      </c>
    </row>
    <row r="1100" spans="1:5" x14ac:dyDescent="0.35">
      <c r="A1100" t="s">
        <v>1201</v>
      </c>
      <c r="B1100" t="s">
        <v>1542</v>
      </c>
      <c r="C1100" t="s">
        <v>18</v>
      </c>
      <c r="D1100">
        <v>127700</v>
      </c>
      <c r="E1100" t="s">
        <v>4</v>
      </c>
    </row>
    <row r="1101" spans="1:5" x14ac:dyDescent="0.35">
      <c r="A1101" t="s">
        <v>1202</v>
      </c>
      <c r="B1101" t="s">
        <v>1594</v>
      </c>
      <c r="C1101" t="s">
        <v>70</v>
      </c>
      <c r="D1101">
        <v>0</v>
      </c>
      <c r="E1101" t="s">
        <v>4</v>
      </c>
    </row>
    <row r="1102" spans="1:5" x14ac:dyDescent="0.35">
      <c r="A1102" t="s">
        <v>1203</v>
      </c>
      <c r="B1102" t="s">
        <v>1542</v>
      </c>
      <c r="C1102" t="s">
        <v>18</v>
      </c>
      <c r="D1102">
        <v>52500</v>
      </c>
      <c r="E1102" t="s">
        <v>4</v>
      </c>
    </row>
    <row r="1103" spans="1:5" x14ac:dyDescent="0.35">
      <c r="A1103" t="s">
        <v>1204</v>
      </c>
      <c r="B1103" t="s">
        <v>1542</v>
      </c>
      <c r="C1103" t="s">
        <v>18</v>
      </c>
      <c r="D1103">
        <v>53700</v>
      </c>
      <c r="E1103" t="s">
        <v>4</v>
      </c>
    </row>
    <row r="1104" spans="1:5" x14ac:dyDescent="0.35">
      <c r="A1104" t="s">
        <v>1205</v>
      </c>
      <c r="B1104" t="s">
        <v>1562</v>
      </c>
      <c r="C1104" t="s">
        <v>38</v>
      </c>
      <c r="D1104">
        <v>0</v>
      </c>
      <c r="E1104" t="s">
        <v>4</v>
      </c>
    </row>
    <row r="1105" spans="1:5" x14ac:dyDescent="0.35">
      <c r="A1105" t="s">
        <v>1206</v>
      </c>
      <c r="B1105" t="s">
        <v>1544</v>
      </c>
      <c r="C1105" t="s">
        <v>20</v>
      </c>
      <c r="D1105">
        <v>153900</v>
      </c>
      <c r="E1105" t="s">
        <v>4</v>
      </c>
    </row>
    <row r="1106" spans="1:5" x14ac:dyDescent="0.35">
      <c r="A1106" t="s">
        <v>1207</v>
      </c>
      <c r="B1106" t="s">
        <v>1544</v>
      </c>
      <c r="C1106" t="s">
        <v>20</v>
      </c>
      <c r="D1106">
        <v>152900</v>
      </c>
      <c r="E1106" t="s">
        <v>4</v>
      </c>
    </row>
    <row r="1107" spans="1:5" x14ac:dyDescent="0.35">
      <c r="A1107" t="s">
        <v>1208</v>
      </c>
      <c r="B1107" t="s">
        <v>1544</v>
      </c>
      <c r="C1107" t="s">
        <v>20</v>
      </c>
      <c r="D1107">
        <v>192400</v>
      </c>
      <c r="E1107" t="s">
        <v>4</v>
      </c>
    </row>
    <row r="1108" spans="1:5" x14ac:dyDescent="0.35">
      <c r="A1108" t="s">
        <v>1209</v>
      </c>
      <c r="B1108" t="s">
        <v>1544</v>
      </c>
      <c r="C1108" t="s">
        <v>20</v>
      </c>
      <c r="D1108">
        <v>144700</v>
      </c>
      <c r="E1108" t="s">
        <v>4</v>
      </c>
    </row>
    <row r="1109" spans="1:5" x14ac:dyDescent="0.35">
      <c r="A1109" t="s">
        <v>1210</v>
      </c>
      <c r="B1109" t="s">
        <v>1544</v>
      </c>
      <c r="C1109" t="s">
        <v>20</v>
      </c>
      <c r="D1109">
        <v>216600</v>
      </c>
      <c r="E1109" t="s">
        <v>4</v>
      </c>
    </row>
    <row r="1110" spans="1:5" x14ac:dyDescent="0.35">
      <c r="A1110" t="s">
        <v>1211</v>
      </c>
      <c r="B1110" t="s">
        <v>1538</v>
      </c>
      <c r="C1110" t="s">
        <v>14</v>
      </c>
      <c r="D1110">
        <v>45000</v>
      </c>
      <c r="E1110" t="s">
        <v>4</v>
      </c>
    </row>
    <row r="1111" spans="1:5" x14ac:dyDescent="0.35">
      <c r="A1111" t="s">
        <v>1212</v>
      </c>
      <c r="B1111" t="s">
        <v>1538</v>
      </c>
      <c r="C1111" t="s">
        <v>14</v>
      </c>
      <c r="D1111">
        <v>46300</v>
      </c>
      <c r="E1111" t="s">
        <v>4</v>
      </c>
    </row>
    <row r="1112" spans="1:5" x14ac:dyDescent="0.35">
      <c r="A1112" t="s">
        <v>1213</v>
      </c>
      <c r="B1112" t="s">
        <v>1553</v>
      </c>
      <c r="C1112" t="s">
        <v>29</v>
      </c>
      <c r="D1112">
        <v>203100</v>
      </c>
      <c r="E1112" t="s">
        <v>4</v>
      </c>
    </row>
    <row r="1113" spans="1:5" x14ac:dyDescent="0.35">
      <c r="A1113" t="s">
        <v>1214</v>
      </c>
      <c r="B1113" t="s">
        <v>1558</v>
      </c>
      <c r="C1113" t="s">
        <v>34</v>
      </c>
      <c r="D1113">
        <v>96500</v>
      </c>
      <c r="E1113" t="s">
        <v>4</v>
      </c>
    </row>
    <row r="1114" spans="1:5" x14ac:dyDescent="0.35">
      <c r="A1114" t="s">
        <v>1215</v>
      </c>
      <c r="B1114" t="s">
        <v>1576</v>
      </c>
      <c r="C1114" t="s">
        <v>52</v>
      </c>
      <c r="D1114">
        <v>185300</v>
      </c>
      <c r="E1114" t="s">
        <v>4</v>
      </c>
    </row>
    <row r="1115" spans="1:5" x14ac:dyDescent="0.35">
      <c r="A1115" t="s">
        <v>1216</v>
      </c>
      <c r="B1115" t="s">
        <v>1536</v>
      </c>
      <c r="C1115" t="s">
        <v>12</v>
      </c>
      <c r="D1115">
        <v>38000</v>
      </c>
      <c r="E1115" t="s">
        <v>4</v>
      </c>
    </row>
    <row r="1116" spans="1:5" x14ac:dyDescent="0.35">
      <c r="A1116" t="s">
        <v>1217</v>
      </c>
      <c r="B1116" t="s">
        <v>1542</v>
      </c>
      <c r="C1116" t="s">
        <v>18</v>
      </c>
      <c r="D1116">
        <v>139800</v>
      </c>
      <c r="E1116" t="s">
        <v>4</v>
      </c>
    </row>
    <row r="1117" spans="1:5" x14ac:dyDescent="0.35">
      <c r="A1117" t="s">
        <v>1218</v>
      </c>
      <c r="B1117" t="s">
        <v>1587</v>
      </c>
      <c r="C1117" t="s">
        <v>63</v>
      </c>
      <c r="D1117">
        <v>65500</v>
      </c>
      <c r="E1117" t="s">
        <v>4</v>
      </c>
    </row>
    <row r="1118" spans="1:5" x14ac:dyDescent="0.35">
      <c r="A1118" t="s">
        <v>1219</v>
      </c>
      <c r="B1118" t="s">
        <v>1545</v>
      </c>
      <c r="C1118" t="s">
        <v>21</v>
      </c>
      <c r="D1118">
        <v>52300</v>
      </c>
      <c r="E1118" t="s">
        <v>4</v>
      </c>
    </row>
    <row r="1119" spans="1:5" x14ac:dyDescent="0.35">
      <c r="A1119" t="s">
        <v>1220</v>
      </c>
      <c r="B1119" t="s">
        <v>1545</v>
      </c>
      <c r="C1119" t="s">
        <v>21</v>
      </c>
      <c r="D1119">
        <v>49800</v>
      </c>
      <c r="E1119" t="s">
        <v>4</v>
      </c>
    </row>
    <row r="1120" spans="1:5" x14ac:dyDescent="0.35">
      <c r="A1120" t="s">
        <v>1221</v>
      </c>
      <c r="B1120" t="s">
        <v>1596</v>
      </c>
      <c r="C1120" t="s">
        <v>72</v>
      </c>
      <c r="D1120">
        <v>2100</v>
      </c>
      <c r="E1120" t="s">
        <v>4</v>
      </c>
    </row>
    <row r="1121" spans="1:5" x14ac:dyDescent="0.35">
      <c r="A1121" t="s">
        <v>1222</v>
      </c>
      <c r="B1121" t="s">
        <v>1542</v>
      </c>
      <c r="C1121" t="s">
        <v>18</v>
      </c>
      <c r="D1121">
        <v>11100</v>
      </c>
      <c r="E1121" t="s">
        <v>4</v>
      </c>
    </row>
    <row r="1122" spans="1:5" x14ac:dyDescent="0.35">
      <c r="A1122" t="s">
        <v>1223</v>
      </c>
      <c r="B1122" t="s">
        <v>1555</v>
      </c>
      <c r="C1122" t="s">
        <v>31</v>
      </c>
      <c r="D1122">
        <v>6700</v>
      </c>
      <c r="E1122" t="s">
        <v>4</v>
      </c>
    </row>
    <row r="1123" spans="1:5" x14ac:dyDescent="0.35">
      <c r="A1123" t="s">
        <v>1224</v>
      </c>
      <c r="B1123" t="s">
        <v>1542</v>
      </c>
      <c r="C1123" t="s">
        <v>18</v>
      </c>
      <c r="D1123">
        <v>34400</v>
      </c>
      <c r="E1123" t="s">
        <v>4</v>
      </c>
    </row>
    <row r="1124" spans="1:5" x14ac:dyDescent="0.35">
      <c r="A1124" t="s">
        <v>1225</v>
      </c>
      <c r="B1124" t="s">
        <v>1594</v>
      </c>
      <c r="C1124" t="s">
        <v>70</v>
      </c>
      <c r="D1124">
        <v>54900</v>
      </c>
      <c r="E1124" t="s">
        <v>4</v>
      </c>
    </row>
    <row r="1125" spans="1:5" x14ac:dyDescent="0.35">
      <c r="A1125" t="s">
        <v>1226</v>
      </c>
      <c r="B1125" t="s">
        <v>1538</v>
      </c>
      <c r="C1125" t="s">
        <v>14</v>
      </c>
      <c r="D1125">
        <v>165800</v>
      </c>
      <c r="E1125" t="s">
        <v>4</v>
      </c>
    </row>
    <row r="1126" spans="1:5" x14ac:dyDescent="0.35">
      <c r="A1126" t="s">
        <v>1227</v>
      </c>
      <c r="B1126" t="s">
        <v>1558</v>
      </c>
      <c r="C1126" t="s">
        <v>34</v>
      </c>
      <c r="D1126">
        <v>213300</v>
      </c>
      <c r="E1126" t="s">
        <v>4</v>
      </c>
    </row>
    <row r="1127" spans="1:5" x14ac:dyDescent="0.35">
      <c r="A1127" t="s">
        <v>1228</v>
      </c>
      <c r="B1127" t="s">
        <v>1558</v>
      </c>
      <c r="C1127" t="s">
        <v>34</v>
      </c>
      <c r="D1127">
        <v>96000</v>
      </c>
      <c r="E1127" t="s">
        <v>4</v>
      </c>
    </row>
    <row r="1128" spans="1:5" x14ac:dyDescent="0.35">
      <c r="A1128" t="s">
        <v>1229</v>
      </c>
      <c r="B1128" t="s">
        <v>1543</v>
      </c>
      <c r="C1128" t="s">
        <v>19</v>
      </c>
      <c r="D1128">
        <v>55300</v>
      </c>
      <c r="E1128" t="s">
        <v>4</v>
      </c>
    </row>
    <row r="1129" spans="1:5" x14ac:dyDescent="0.35">
      <c r="A1129" t="s">
        <v>1230</v>
      </c>
      <c r="B1129" t="s">
        <v>1543</v>
      </c>
      <c r="C1129" t="s">
        <v>19</v>
      </c>
      <c r="D1129">
        <v>42000</v>
      </c>
      <c r="E1129" t="s">
        <v>4</v>
      </c>
    </row>
    <row r="1130" spans="1:5" x14ac:dyDescent="0.35">
      <c r="A1130" t="s">
        <v>1231</v>
      </c>
      <c r="B1130" t="s">
        <v>1543</v>
      </c>
      <c r="C1130" t="s">
        <v>19</v>
      </c>
      <c r="D1130">
        <v>59100</v>
      </c>
      <c r="E1130" t="s">
        <v>4</v>
      </c>
    </row>
    <row r="1131" spans="1:5" x14ac:dyDescent="0.35">
      <c r="A1131" t="s">
        <v>1232</v>
      </c>
      <c r="B1131" t="s">
        <v>1540</v>
      </c>
      <c r="C1131" t="s">
        <v>16</v>
      </c>
      <c r="D1131">
        <v>51200</v>
      </c>
      <c r="E1131" t="s">
        <v>4</v>
      </c>
    </row>
    <row r="1132" spans="1:5" x14ac:dyDescent="0.35">
      <c r="A1132" t="s">
        <v>1233</v>
      </c>
      <c r="B1132" t="s">
        <v>1556</v>
      </c>
      <c r="C1132" t="s">
        <v>32</v>
      </c>
      <c r="D1132">
        <v>188000</v>
      </c>
      <c r="E1132" t="s">
        <v>4</v>
      </c>
    </row>
    <row r="1133" spans="1:5" x14ac:dyDescent="0.35">
      <c r="A1133" t="s">
        <v>1234</v>
      </c>
      <c r="B1133" t="s">
        <v>1556</v>
      </c>
      <c r="C1133" t="s">
        <v>32</v>
      </c>
      <c r="D1133">
        <v>48400</v>
      </c>
      <c r="E1133" t="s">
        <v>4</v>
      </c>
    </row>
    <row r="1134" spans="1:5" x14ac:dyDescent="0.35">
      <c r="A1134" t="s">
        <v>1235</v>
      </c>
      <c r="B1134" t="s">
        <v>1539</v>
      </c>
      <c r="C1134" t="s">
        <v>15</v>
      </c>
      <c r="D1134">
        <v>51400</v>
      </c>
      <c r="E1134" t="s">
        <v>4</v>
      </c>
    </row>
    <row r="1135" spans="1:5" x14ac:dyDescent="0.35">
      <c r="A1135" t="s">
        <v>1236</v>
      </c>
      <c r="B1135" t="s">
        <v>1543</v>
      </c>
      <c r="C1135" t="s">
        <v>19</v>
      </c>
      <c r="D1135">
        <v>147900</v>
      </c>
      <c r="E1135" t="s">
        <v>4</v>
      </c>
    </row>
    <row r="1136" spans="1:5" x14ac:dyDescent="0.35">
      <c r="A1136" t="s">
        <v>1237</v>
      </c>
      <c r="B1136" t="s">
        <v>1568</v>
      </c>
      <c r="C1136" t="s">
        <v>44</v>
      </c>
      <c r="D1136">
        <v>0</v>
      </c>
      <c r="E1136" t="s">
        <v>4</v>
      </c>
    </row>
    <row r="1137" spans="1:5" x14ac:dyDescent="0.35">
      <c r="A1137" t="s">
        <v>1238</v>
      </c>
      <c r="B1137" t="s">
        <v>1538</v>
      </c>
      <c r="C1137" t="s">
        <v>14</v>
      </c>
      <c r="D1137">
        <v>30300</v>
      </c>
      <c r="E1137" t="s">
        <v>4</v>
      </c>
    </row>
    <row r="1138" spans="1:5" x14ac:dyDescent="0.35">
      <c r="A1138" t="s">
        <v>1239</v>
      </c>
      <c r="B1138" t="s">
        <v>1540</v>
      </c>
      <c r="C1138" t="s">
        <v>16</v>
      </c>
      <c r="D1138">
        <v>64600</v>
      </c>
      <c r="E1138" t="s">
        <v>4</v>
      </c>
    </row>
    <row r="1139" spans="1:5" x14ac:dyDescent="0.35">
      <c r="A1139" t="s">
        <v>1240</v>
      </c>
      <c r="B1139" t="s">
        <v>1547</v>
      </c>
      <c r="C1139" t="s">
        <v>23</v>
      </c>
      <c r="D1139">
        <v>62500</v>
      </c>
      <c r="E1139" t="s">
        <v>4</v>
      </c>
    </row>
    <row r="1140" spans="1:5" x14ac:dyDescent="0.35">
      <c r="A1140" t="s">
        <v>1241</v>
      </c>
      <c r="B1140" t="s">
        <v>1604</v>
      </c>
      <c r="C1140" t="s">
        <v>80</v>
      </c>
      <c r="D1140">
        <v>105900</v>
      </c>
      <c r="E1140" t="s">
        <v>4</v>
      </c>
    </row>
    <row r="1141" spans="1:5" x14ac:dyDescent="0.35">
      <c r="A1141" t="s">
        <v>1242</v>
      </c>
      <c r="B1141" t="s">
        <v>1604</v>
      </c>
      <c r="C1141" t="s">
        <v>80</v>
      </c>
      <c r="D1141">
        <v>84100</v>
      </c>
      <c r="E1141" t="s">
        <v>4</v>
      </c>
    </row>
    <row r="1142" spans="1:5" x14ac:dyDescent="0.35">
      <c r="A1142" t="s">
        <v>1243</v>
      </c>
      <c r="B1142" t="s">
        <v>1604</v>
      </c>
      <c r="C1142" t="s">
        <v>80</v>
      </c>
      <c r="D1142">
        <v>101100</v>
      </c>
      <c r="E1142" t="s">
        <v>4</v>
      </c>
    </row>
    <row r="1143" spans="1:5" x14ac:dyDescent="0.35">
      <c r="A1143" t="s">
        <v>1244</v>
      </c>
      <c r="B1143" t="s">
        <v>1538</v>
      </c>
      <c r="C1143" t="s">
        <v>14</v>
      </c>
      <c r="D1143">
        <v>58300</v>
      </c>
      <c r="E1143" t="s">
        <v>4</v>
      </c>
    </row>
    <row r="1144" spans="1:5" x14ac:dyDescent="0.35">
      <c r="A1144" t="s">
        <v>1245</v>
      </c>
      <c r="B1144" t="s">
        <v>1538</v>
      </c>
      <c r="C1144" t="s">
        <v>14</v>
      </c>
      <c r="D1144">
        <v>68200</v>
      </c>
      <c r="E1144" t="s">
        <v>4</v>
      </c>
    </row>
    <row r="1145" spans="1:5" x14ac:dyDescent="0.35">
      <c r="A1145" t="s">
        <v>1246</v>
      </c>
      <c r="B1145" t="s">
        <v>1543</v>
      </c>
      <c r="C1145" t="s">
        <v>19</v>
      </c>
      <c r="D1145">
        <v>56800</v>
      </c>
      <c r="E1145" t="s">
        <v>4</v>
      </c>
    </row>
    <row r="1146" spans="1:5" x14ac:dyDescent="0.35">
      <c r="A1146" t="s">
        <v>1247</v>
      </c>
      <c r="B1146" t="s">
        <v>1540</v>
      </c>
      <c r="C1146" t="s">
        <v>16</v>
      </c>
      <c r="D1146">
        <v>53000</v>
      </c>
      <c r="E1146" t="s">
        <v>4</v>
      </c>
    </row>
    <row r="1147" spans="1:5" x14ac:dyDescent="0.35">
      <c r="A1147" t="s">
        <v>1248</v>
      </c>
      <c r="B1147" t="s">
        <v>1540</v>
      </c>
      <c r="C1147" t="s">
        <v>16</v>
      </c>
      <c r="D1147">
        <v>200000</v>
      </c>
      <c r="E1147" t="s">
        <v>4</v>
      </c>
    </row>
    <row r="1148" spans="1:5" x14ac:dyDescent="0.35">
      <c r="A1148" t="s">
        <v>1249</v>
      </c>
      <c r="B1148" t="s">
        <v>1538</v>
      </c>
      <c r="C1148" t="s">
        <v>14</v>
      </c>
      <c r="D1148">
        <v>103800</v>
      </c>
      <c r="E1148" t="s">
        <v>4</v>
      </c>
    </row>
    <row r="1149" spans="1:5" x14ac:dyDescent="0.35">
      <c r="A1149" t="s">
        <v>1250</v>
      </c>
      <c r="B1149" t="s">
        <v>1553</v>
      </c>
      <c r="C1149" t="s">
        <v>29</v>
      </c>
      <c r="D1149">
        <v>160000</v>
      </c>
      <c r="E1149" t="s">
        <v>4</v>
      </c>
    </row>
    <row r="1150" spans="1:5" x14ac:dyDescent="0.35">
      <c r="A1150" t="s">
        <v>1251</v>
      </c>
      <c r="B1150" t="s">
        <v>1553</v>
      </c>
      <c r="C1150" t="s">
        <v>29</v>
      </c>
      <c r="D1150">
        <v>167700</v>
      </c>
      <c r="E1150" t="s">
        <v>4</v>
      </c>
    </row>
    <row r="1151" spans="1:5" x14ac:dyDescent="0.35">
      <c r="A1151" t="s">
        <v>1252</v>
      </c>
      <c r="B1151" t="s">
        <v>1543</v>
      </c>
      <c r="C1151" t="s">
        <v>19</v>
      </c>
      <c r="D1151">
        <v>60500</v>
      </c>
      <c r="E1151" t="s">
        <v>4</v>
      </c>
    </row>
    <row r="1152" spans="1:5" x14ac:dyDescent="0.35">
      <c r="A1152" t="s">
        <v>1253</v>
      </c>
      <c r="B1152" t="s">
        <v>1543</v>
      </c>
      <c r="C1152" t="s">
        <v>19</v>
      </c>
      <c r="D1152">
        <v>50400</v>
      </c>
      <c r="E1152" t="s">
        <v>4</v>
      </c>
    </row>
    <row r="1153" spans="1:5" x14ac:dyDescent="0.35">
      <c r="A1153" t="s">
        <v>1254</v>
      </c>
      <c r="B1153" t="s">
        <v>1551</v>
      </c>
      <c r="C1153" t="s">
        <v>27</v>
      </c>
      <c r="D1153">
        <v>51200</v>
      </c>
      <c r="E1153" t="s">
        <v>4</v>
      </c>
    </row>
    <row r="1154" spans="1:5" x14ac:dyDescent="0.35">
      <c r="A1154" t="s">
        <v>1255</v>
      </c>
      <c r="B1154" t="s">
        <v>1551</v>
      </c>
      <c r="C1154" t="s">
        <v>27</v>
      </c>
      <c r="D1154">
        <v>56900</v>
      </c>
      <c r="E1154" t="s">
        <v>4</v>
      </c>
    </row>
    <row r="1155" spans="1:5" x14ac:dyDescent="0.35">
      <c r="A1155" t="s">
        <v>1256</v>
      </c>
      <c r="B1155" t="s">
        <v>1542</v>
      </c>
      <c r="C1155" t="s">
        <v>18</v>
      </c>
      <c r="D1155">
        <v>122200</v>
      </c>
      <c r="E1155" t="s">
        <v>4</v>
      </c>
    </row>
    <row r="1156" spans="1:5" x14ac:dyDescent="0.35">
      <c r="A1156" t="s">
        <v>1257</v>
      </c>
      <c r="B1156" t="s">
        <v>1558</v>
      </c>
      <c r="C1156" t="s">
        <v>34</v>
      </c>
      <c r="D1156">
        <v>44200</v>
      </c>
      <c r="E1156" t="s">
        <v>4</v>
      </c>
    </row>
    <row r="1157" spans="1:5" x14ac:dyDescent="0.35">
      <c r="A1157" t="s">
        <v>1258</v>
      </c>
      <c r="B1157" t="s">
        <v>1558</v>
      </c>
      <c r="C1157" t="s">
        <v>34</v>
      </c>
      <c r="D1157">
        <v>56900</v>
      </c>
      <c r="E1157" t="s">
        <v>4</v>
      </c>
    </row>
    <row r="1158" spans="1:5" x14ac:dyDescent="0.35">
      <c r="A1158" t="s">
        <v>1259</v>
      </c>
      <c r="B1158" t="s">
        <v>1542</v>
      </c>
      <c r="C1158" t="s">
        <v>18</v>
      </c>
      <c r="D1158">
        <v>169500</v>
      </c>
      <c r="E1158" t="s">
        <v>4</v>
      </c>
    </row>
    <row r="1159" spans="1:5" x14ac:dyDescent="0.35">
      <c r="A1159" t="s">
        <v>1260</v>
      </c>
      <c r="B1159" t="s">
        <v>1542</v>
      </c>
      <c r="C1159" t="s">
        <v>18</v>
      </c>
      <c r="D1159">
        <v>51900</v>
      </c>
      <c r="E1159" t="s">
        <v>4</v>
      </c>
    </row>
    <row r="1160" spans="1:5" x14ac:dyDescent="0.35">
      <c r="A1160" t="s">
        <v>1261</v>
      </c>
      <c r="B1160" t="s">
        <v>1542</v>
      </c>
      <c r="C1160" t="s">
        <v>18</v>
      </c>
      <c r="D1160">
        <v>58300</v>
      </c>
      <c r="E1160" t="s">
        <v>4</v>
      </c>
    </row>
    <row r="1161" spans="1:5" x14ac:dyDescent="0.35">
      <c r="A1161" t="s">
        <v>1262</v>
      </c>
      <c r="B1161" t="s">
        <v>1543</v>
      </c>
      <c r="C1161" t="s">
        <v>19</v>
      </c>
      <c r="D1161">
        <v>55200</v>
      </c>
      <c r="E1161" t="s">
        <v>4</v>
      </c>
    </row>
    <row r="1162" spans="1:5" x14ac:dyDescent="0.35">
      <c r="A1162" t="s">
        <v>1263</v>
      </c>
      <c r="B1162" t="s">
        <v>1538</v>
      </c>
      <c r="C1162" t="s">
        <v>14</v>
      </c>
      <c r="D1162">
        <v>245000</v>
      </c>
      <c r="E1162" t="s">
        <v>4</v>
      </c>
    </row>
    <row r="1163" spans="1:5" x14ac:dyDescent="0.35">
      <c r="A1163" t="s">
        <v>1264</v>
      </c>
      <c r="B1163" t="s">
        <v>1538</v>
      </c>
      <c r="C1163" t="s">
        <v>14</v>
      </c>
      <c r="D1163">
        <v>165600</v>
      </c>
      <c r="E1163" t="s">
        <v>4</v>
      </c>
    </row>
    <row r="1164" spans="1:5" x14ac:dyDescent="0.35">
      <c r="A1164" t="s">
        <v>1265</v>
      </c>
      <c r="B1164" t="s">
        <v>1538</v>
      </c>
      <c r="C1164" t="s">
        <v>14</v>
      </c>
      <c r="D1164">
        <v>72300</v>
      </c>
      <c r="E1164" t="s">
        <v>4</v>
      </c>
    </row>
    <row r="1165" spans="1:5" x14ac:dyDescent="0.35">
      <c r="A1165" t="s">
        <v>1266</v>
      </c>
      <c r="B1165" t="s">
        <v>1541</v>
      </c>
      <c r="C1165" t="s">
        <v>17</v>
      </c>
      <c r="D1165">
        <v>200500</v>
      </c>
      <c r="E1165" t="s">
        <v>4</v>
      </c>
    </row>
    <row r="1166" spans="1:5" x14ac:dyDescent="0.35">
      <c r="A1166" t="s">
        <v>1267</v>
      </c>
      <c r="B1166" t="s">
        <v>1613</v>
      </c>
      <c r="C1166" t="s">
        <v>89</v>
      </c>
      <c r="D1166">
        <v>83500</v>
      </c>
      <c r="E1166" t="s">
        <v>4</v>
      </c>
    </row>
    <row r="1167" spans="1:5" x14ac:dyDescent="0.35">
      <c r="A1167" t="s">
        <v>1268</v>
      </c>
      <c r="B1167" t="s">
        <v>1543</v>
      </c>
      <c r="C1167" t="s">
        <v>19</v>
      </c>
      <c r="D1167">
        <v>70700</v>
      </c>
      <c r="E1167" t="s">
        <v>4</v>
      </c>
    </row>
    <row r="1168" spans="1:5" x14ac:dyDescent="0.35">
      <c r="A1168" t="s">
        <v>1269</v>
      </c>
      <c r="B1168" t="s">
        <v>1558</v>
      </c>
      <c r="C1168" t="s">
        <v>34</v>
      </c>
      <c r="D1168">
        <v>63500</v>
      </c>
      <c r="E1168" t="s">
        <v>4</v>
      </c>
    </row>
    <row r="1169" spans="1:5" x14ac:dyDescent="0.35">
      <c r="A1169" t="s">
        <v>1270</v>
      </c>
      <c r="B1169" t="s">
        <v>1558</v>
      </c>
      <c r="C1169" t="s">
        <v>34</v>
      </c>
      <c r="D1169">
        <v>69400</v>
      </c>
      <c r="E1169" t="s">
        <v>4</v>
      </c>
    </row>
    <row r="1170" spans="1:5" x14ac:dyDescent="0.35">
      <c r="A1170" t="s">
        <v>1271</v>
      </c>
      <c r="B1170" t="s">
        <v>1539</v>
      </c>
      <c r="C1170" t="s">
        <v>15</v>
      </c>
      <c r="D1170">
        <v>59300</v>
      </c>
      <c r="E1170" t="s">
        <v>4</v>
      </c>
    </row>
    <row r="1171" spans="1:5" x14ac:dyDescent="0.35">
      <c r="A1171" t="s">
        <v>1272</v>
      </c>
      <c r="B1171" t="s">
        <v>1539</v>
      </c>
      <c r="C1171" t="s">
        <v>15</v>
      </c>
      <c r="D1171">
        <v>39600</v>
      </c>
      <c r="E1171" t="s">
        <v>4</v>
      </c>
    </row>
    <row r="1172" spans="1:5" x14ac:dyDescent="0.35">
      <c r="A1172" t="s">
        <v>1273</v>
      </c>
      <c r="B1172" t="s">
        <v>1539</v>
      </c>
      <c r="C1172" t="s">
        <v>15</v>
      </c>
      <c r="D1172">
        <v>40200</v>
      </c>
      <c r="E1172" t="s">
        <v>4</v>
      </c>
    </row>
    <row r="1173" spans="1:5" x14ac:dyDescent="0.35">
      <c r="A1173" t="s">
        <v>1274</v>
      </c>
      <c r="B1173" t="s">
        <v>1624</v>
      </c>
      <c r="C1173" t="s">
        <v>100</v>
      </c>
      <c r="D1173">
        <v>217300</v>
      </c>
      <c r="E1173" t="s">
        <v>4</v>
      </c>
    </row>
    <row r="1174" spans="1:5" x14ac:dyDescent="0.35">
      <c r="A1174" t="s">
        <v>1275</v>
      </c>
      <c r="B1174" t="s">
        <v>1543</v>
      </c>
      <c r="C1174" t="s">
        <v>19</v>
      </c>
      <c r="D1174">
        <v>66000</v>
      </c>
      <c r="E1174" t="s">
        <v>4</v>
      </c>
    </row>
    <row r="1175" spans="1:5" x14ac:dyDescent="0.35">
      <c r="A1175" t="s">
        <v>1276</v>
      </c>
      <c r="B1175" t="s">
        <v>1540</v>
      </c>
      <c r="C1175" t="s">
        <v>16</v>
      </c>
      <c r="D1175">
        <v>44000</v>
      </c>
      <c r="E1175" t="s">
        <v>4</v>
      </c>
    </row>
    <row r="1176" spans="1:5" x14ac:dyDescent="0.35">
      <c r="A1176" t="s">
        <v>1277</v>
      </c>
      <c r="B1176" t="s">
        <v>1540</v>
      </c>
      <c r="C1176" t="s">
        <v>16</v>
      </c>
      <c r="D1176">
        <v>50500</v>
      </c>
      <c r="E1176" t="s">
        <v>4</v>
      </c>
    </row>
    <row r="1177" spans="1:5" x14ac:dyDescent="0.35">
      <c r="A1177" t="s">
        <v>1278</v>
      </c>
      <c r="B1177" t="s">
        <v>1540</v>
      </c>
      <c r="C1177" t="s">
        <v>16</v>
      </c>
      <c r="D1177">
        <v>43400</v>
      </c>
      <c r="E1177" t="s">
        <v>4</v>
      </c>
    </row>
    <row r="1178" spans="1:5" x14ac:dyDescent="0.35">
      <c r="A1178" t="s">
        <v>1279</v>
      </c>
      <c r="B1178" t="s">
        <v>1540</v>
      </c>
      <c r="C1178" t="s">
        <v>16</v>
      </c>
      <c r="D1178">
        <v>35600</v>
      </c>
      <c r="E1178" t="s">
        <v>4</v>
      </c>
    </row>
    <row r="1179" spans="1:5" x14ac:dyDescent="0.35">
      <c r="A1179" t="s">
        <v>1280</v>
      </c>
      <c r="B1179" t="s">
        <v>1547</v>
      </c>
      <c r="C1179" t="s">
        <v>23</v>
      </c>
      <c r="D1179">
        <v>115300</v>
      </c>
      <c r="E1179" t="s">
        <v>4</v>
      </c>
    </row>
    <row r="1180" spans="1:5" x14ac:dyDescent="0.35">
      <c r="A1180" t="s">
        <v>1281</v>
      </c>
      <c r="B1180" t="s">
        <v>1547</v>
      </c>
      <c r="C1180" t="s">
        <v>23</v>
      </c>
      <c r="D1180">
        <v>235700</v>
      </c>
      <c r="E1180" t="s">
        <v>4</v>
      </c>
    </row>
    <row r="1181" spans="1:5" x14ac:dyDescent="0.35">
      <c r="A1181" t="s">
        <v>1282</v>
      </c>
      <c r="B1181" t="s">
        <v>1546</v>
      </c>
      <c r="C1181" t="s">
        <v>22</v>
      </c>
      <c r="D1181">
        <v>70100</v>
      </c>
      <c r="E1181" t="s">
        <v>4</v>
      </c>
    </row>
    <row r="1182" spans="1:5" x14ac:dyDescent="0.35">
      <c r="A1182" t="s">
        <v>1283</v>
      </c>
      <c r="B1182" t="s">
        <v>1569</v>
      </c>
      <c r="C1182" t="s">
        <v>45</v>
      </c>
      <c r="D1182">
        <v>59700</v>
      </c>
      <c r="E1182" t="s">
        <v>4</v>
      </c>
    </row>
    <row r="1183" spans="1:5" x14ac:dyDescent="0.35">
      <c r="A1183" t="s">
        <v>1284</v>
      </c>
      <c r="B1183" t="s">
        <v>1541</v>
      </c>
      <c r="C1183" t="s">
        <v>17</v>
      </c>
      <c r="D1183">
        <v>88900</v>
      </c>
      <c r="E1183" t="s">
        <v>4</v>
      </c>
    </row>
    <row r="1184" spans="1:5" x14ac:dyDescent="0.35">
      <c r="A1184" t="s">
        <v>1285</v>
      </c>
      <c r="B1184" t="s">
        <v>1542</v>
      </c>
      <c r="C1184" t="s">
        <v>18</v>
      </c>
      <c r="D1184">
        <v>92500</v>
      </c>
      <c r="E1184" t="s">
        <v>4</v>
      </c>
    </row>
    <row r="1185" spans="1:5" x14ac:dyDescent="0.35">
      <c r="A1185" t="s">
        <v>1286</v>
      </c>
      <c r="B1185" t="s">
        <v>1551</v>
      </c>
      <c r="C1185" t="s">
        <v>27</v>
      </c>
      <c r="D1185">
        <v>217600</v>
      </c>
      <c r="E1185" t="s">
        <v>4</v>
      </c>
    </row>
    <row r="1186" spans="1:5" x14ac:dyDescent="0.35">
      <c r="A1186" t="s">
        <v>1287</v>
      </c>
      <c r="B1186" t="s">
        <v>1551</v>
      </c>
      <c r="C1186" t="s">
        <v>27</v>
      </c>
      <c r="D1186">
        <v>186200</v>
      </c>
      <c r="E1186" t="s">
        <v>4</v>
      </c>
    </row>
    <row r="1187" spans="1:5" x14ac:dyDescent="0.35">
      <c r="A1187" t="s">
        <v>1288</v>
      </c>
      <c r="B1187" t="s">
        <v>1594</v>
      </c>
      <c r="C1187" t="s">
        <v>70</v>
      </c>
      <c r="D1187">
        <v>9900</v>
      </c>
      <c r="E1187" t="s">
        <v>4</v>
      </c>
    </row>
    <row r="1188" spans="1:5" x14ac:dyDescent="0.35">
      <c r="A1188" t="s">
        <v>1289</v>
      </c>
      <c r="B1188" t="s">
        <v>1543</v>
      </c>
      <c r="C1188" t="s">
        <v>19</v>
      </c>
      <c r="D1188">
        <v>13300</v>
      </c>
      <c r="E1188" t="s">
        <v>4</v>
      </c>
    </row>
    <row r="1189" spans="1:5" x14ac:dyDescent="0.35">
      <c r="A1189" t="s">
        <v>1290</v>
      </c>
      <c r="B1189" t="s">
        <v>1599</v>
      </c>
      <c r="C1189" t="s">
        <v>75</v>
      </c>
      <c r="D1189">
        <v>9900</v>
      </c>
      <c r="E1189" t="s">
        <v>4</v>
      </c>
    </row>
    <row r="1190" spans="1:5" x14ac:dyDescent="0.35">
      <c r="A1190" t="s">
        <v>1291</v>
      </c>
      <c r="B1190" t="s">
        <v>1553</v>
      </c>
      <c r="C1190" t="s">
        <v>29</v>
      </c>
      <c r="D1190">
        <v>6000</v>
      </c>
      <c r="E1190" t="s">
        <v>4</v>
      </c>
    </row>
    <row r="1191" spans="1:5" x14ac:dyDescent="0.35">
      <c r="A1191" t="s">
        <v>1292</v>
      </c>
      <c r="B1191" t="s">
        <v>1551</v>
      </c>
      <c r="C1191" t="s">
        <v>27</v>
      </c>
      <c r="D1191">
        <v>6900</v>
      </c>
      <c r="E1191" t="s">
        <v>4</v>
      </c>
    </row>
    <row r="1192" spans="1:5" x14ac:dyDescent="0.35">
      <c r="A1192" t="s">
        <v>1293</v>
      </c>
      <c r="B1192" t="s">
        <v>1540</v>
      </c>
      <c r="C1192" t="s">
        <v>16</v>
      </c>
      <c r="D1192">
        <v>4900</v>
      </c>
      <c r="E1192" t="s">
        <v>4</v>
      </c>
    </row>
    <row r="1193" spans="1:5" x14ac:dyDescent="0.35">
      <c r="A1193" t="s">
        <v>1294</v>
      </c>
      <c r="B1193" t="s">
        <v>1603</v>
      </c>
      <c r="C1193" t="s">
        <v>79</v>
      </c>
      <c r="D1193">
        <v>5400</v>
      </c>
      <c r="E1193" t="s">
        <v>4</v>
      </c>
    </row>
    <row r="1194" spans="1:5" x14ac:dyDescent="0.35">
      <c r="A1194" t="s">
        <v>1295</v>
      </c>
      <c r="B1194" t="s">
        <v>1555</v>
      </c>
      <c r="C1194" t="s">
        <v>31</v>
      </c>
      <c r="D1194">
        <v>5800</v>
      </c>
      <c r="E1194" t="s">
        <v>4</v>
      </c>
    </row>
    <row r="1195" spans="1:5" x14ac:dyDescent="0.35">
      <c r="A1195" t="s">
        <v>1296</v>
      </c>
      <c r="B1195" t="s">
        <v>1555</v>
      </c>
      <c r="C1195" t="s">
        <v>31</v>
      </c>
      <c r="D1195">
        <v>1400</v>
      </c>
      <c r="E1195" t="s">
        <v>4</v>
      </c>
    </row>
    <row r="1196" spans="1:5" x14ac:dyDescent="0.35">
      <c r="A1196" t="s">
        <v>1297</v>
      </c>
      <c r="B1196" t="s">
        <v>1542</v>
      </c>
      <c r="C1196" t="s">
        <v>18</v>
      </c>
      <c r="D1196">
        <v>54800</v>
      </c>
      <c r="E1196" t="s">
        <v>4</v>
      </c>
    </row>
    <row r="1197" spans="1:5" x14ac:dyDescent="0.35">
      <c r="A1197" t="s">
        <v>1298</v>
      </c>
      <c r="B1197" t="s">
        <v>1538</v>
      </c>
      <c r="C1197" t="s">
        <v>14</v>
      </c>
      <c r="D1197">
        <v>58500</v>
      </c>
      <c r="E1197" t="s">
        <v>4</v>
      </c>
    </row>
    <row r="1198" spans="1:5" x14ac:dyDescent="0.35">
      <c r="A1198" t="s">
        <v>1299</v>
      </c>
      <c r="B1198" t="s">
        <v>1538</v>
      </c>
      <c r="C1198" t="s">
        <v>14</v>
      </c>
      <c r="D1198">
        <v>50800</v>
      </c>
      <c r="E1198" t="s">
        <v>4</v>
      </c>
    </row>
    <row r="1199" spans="1:5" x14ac:dyDescent="0.35">
      <c r="A1199" t="s">
        <v>1300</v>
      </c>
      <c r="B1199" t="s">
        <v>1538</v>
      </c>
      <c r="C1199" t="s">
        <v>14</v>
      </c>
      <c r="D1199">
        <v>58500</v>
      </c>
      <c r="E1199" t="s">
        <v>4</v>
      </c>
    </row>
    <row r="1200" spans="1:5" x14ac:dyDescent="0.35">
      <c r="A1200" t="s">
        <v>1301</v>
      </c>
      <c r="B1200" t="s">
        <v>1561</v>
      </c>
      <c r="C1200" t="s">
        <v>37</v>
      </c>
      <c r="D1200">
        <v>127600</v>
      </c>
      <c r="E1200" t="s">
        <v>4</v>
      </c>
    </row>
    <row r="1201" spans="1:5" x14ac:dyDescent="0.35">
      <c r="A1201" t="s">
        <v>1302</v>
      </c>
      <c r="B1201" t="s">
        <v>1605</v>
      </c>
      <c r="C1201" t="s">
        <v>81</v>
      </c>
      <c r="D1201">
        <v>41800</v>
      </c>
      <c r="E1201" t="s">
        <v>4</v>
      </c>
    </row>
    <row r="1202" spans="1:5" x14ac:dyDescent="0.35">
      <c r="A1202" t="s">
        <v>1303</v>
      </c>
      <c r="B1202" t="s">
        <v>1551</v>
      </c>
      <c r="C1202" t="s">
        <v>27</v>
      </c>
      <c r="D1202">
        <v>48000</v>
      </c>
      <c r="E1202" t="s">
        <v>4</v>
      </c>
    </row>
    <row r="1203" spans="1:5" x14ac:dyDescent="0.35">
      <c r="A1203" t="s">
        <v>1304</v>
      </c>
      <c r="B1203" t="s">
        <v>1542</v>
      </c>
      <c r="C1203" t="s">
        <v>18</v>
      </c>
      <c r="D1203">
        <v>103800</v>
      </c>
      <c r="E1203" t="s">
        <v>4</v>
      </c>
    </row>
    <row r="1204" spans="1:5" x14ac:dyDescent="0.35">
      <c r="A1204" t="s">
        <v>1305</v>
      </c>
      <c r="B1204" t="s">
        <v>1542</v>
      </c>
      <c r="C1204" t="s">
        <v>18</v>
      </c>
      <c r="D1204">
        <v>80600</v>
      </c>
      <c r="E1204" t="s">
        <v>4</v>
      </c>
    </row>
    <row r="1205" spans="1:5" x14ac:dyDescent="0.35">
      <c r="A1205" t="s">
        <v>1306</v>
      </c>
      <c r="B1205" t="s">
        <v>1542</v>
      </c>
      <c r="C1205" t="s">
        <v>18</v>
      </c>
      <c r="D1205">
        <v>72700</v>
      </c>
      <c r="E1205" t="s">
        <v>4</v>
      </c>
    </row>
    <row r="1206" spans="1:5" x14ac:dyDescent="0.35">
      <c r="A1206" t="s">
        <v>1307</v>
      </c>
      <c r="B1206" t="s">
        <v>1542</v>
      </c>
      <c r="C1206" t="s">
        <v>18</v>
      </c>
      <c r="D1206">
        <v>101300</v>
      </c>
      <c r="E1206" t="s">
        <v>4</v>
      </c>
    </row>
    <row r="1207" spans="1:5" x14ac:dyDescent="0.35">
      <c r="A1207" t="s">
        <v>1308</v>
      </c>
      <c r="B1207" t="s">
        <v>1547</v>
      </c>
      <c r="C1207" t="s">
        <v>23</v>
      </c>
      <c r="D1207">
        <v>91300</v>
      </c>
      <c r="E1207" t="s">
        <v>4</v>
      </c>
    </row>
    <row r="1208" spans="1:5" x14ac:dyDescent="0.35">
      <c r="A1208" t="s">
        <v>1309</v>
      </c>
      <c r="B1208" t="s">
        <v>1594</v>
      </c>
      <c r="C1208" t="s">
        <v>70</v>
      </c>
      <c r="D1208">
        <v>56600</v>
      </c>
      <c r="E1208" t="s">
        <v>4</v>
      </c>
    </row>
    <row r="1209" spans="1:5" x14ac:dyDescent="0.35">
      <c r="A1209" t="s">
        <v>1310</v>
      </c>
      <c r="B1209" t="s">
        <v>1542</v>
      </c>
      <c r="C1209" t="s">
        <v>18</v>
      </c>
      <c r="D1209">
        <v>54600</v>
      </c>
      <c r="E1209" t="s">
        <v>4</v>
      </c>
    </row>
    <row r="1210" spans="1:5" x14ac:dyDescent="0.35">
      <c r="A1210" t="s">
        <v>1311</v>
      </c>
      <c r="B1210" t="s">
        <v>1542</v>
      </c>
      <c r="C1210" t="s">
        <v>18</v>
      </c>
      <c r="D1210">
        <v>67300</v>
      </c>
      <c r="E1210" t="s">
        <v>4</v>
      </c>
    </row>
    <row r="1211" spans="1:5" x14ac:dyDescent="0.35">
      <c r="A1211" t="s">
        <v>1312</v>
      </c>
      <c r="B1211" t="s">
        <v>1574</v>
      </c>
      <c r="C1211" t="s">
        <v>50</v>
      </c>
      <c r="D1211">
        <v>51400</v>
      </c>
      <c r="E1211" t="s">
        <v>4</v>
      </c>
    </row>
    <row r="1212" spans="1:5" x14ac:dyDescent="0.35">
      <c r="A1212" t="s">
        <v>1313</v>
      </c>
      <c r="B1212" t="s">
        <v>1547</v>
      </c>
      <c r="C1212" t="s">
        <v>23</v>
      </c>
      <c r="D1212">
        <v>59200</v>
      </c>
      <c r="E1212" t="s">
        <v>4</v>
      </c>
    </row>
    <row r="1213" spans="1:5" x14ac:dyDescent="0.35">
      <c r="A1213" t="s">
        <v>1314</v>
      </c>
      <c r="B1213" t="s">
        <v>1539</v>
      </c>
      <c r="C1213" t="s">
        <v>15</v>
      </c>
      <c r="D1213">
        <v>57600</v>
      </c>
      <c r="E1213" t="s">
        <v>4</v>
      </c>
    </row>
    <row r="1214" spans="1:5" x14ac:dyDescent="0.35">
      <c r="A1214" t="s">
        <v>1315</v>
      </c>
      <c r="B1214" t="s">
        <v>1539</v>
      </c>
      <c r="C1214" t="s">
        <v>15</v>
      </c>
      <c r="D1214">
        <v>37300</v>
      </c>
      <c r="E1214" t="s">
        <v>4</v>
      </c>
    </row>
    <row r="1215" spans="1:5" x14ac:dyDescent="0.35">
      <c r="A1215" t="s">
        <v>1316</v>
      </c>
      <c r="B1215" t="s">
        <v>1558</v>
      </c>
      <c r="C1215" t="s">
        <v>34</v>
      </c>
      <c r="D1215">
        <v>36900</v>
      </c>
      <c r="E1215" t="s">
        <v>4</v>
      </c>
    </row>
    <row r="1216" spans="1:5" x14ac:dyDescent="0.35">
      <c r="A1216" t="s">
        <v>1317</v>
      </c>
      <c r="B1216" t="s">
        <v>1558</v>
      </c>
      <c r="C1216" t="s">
        <v>34</v>
      </c>
      <c r="D1216">
        <v>38000</v>
      </c>
      <c r="E1216" t="s">
        <v>4</v>
      </c>
    </row>
    <row r="1217" spans="1:5" x14ac:dyDescent="0.35">
      <c r="A1217" t="s">
        <v>1318</v>
      </c>
      <c r="B1217" t="s">
        <v>1554</v>
      </c>
      <c r="C1217" t="s">
        <v>30</v>
      </c>
      <c r="D1217">
        <v>174300</v>
      </c>
      <c r="E1217" t="s">
        <v>4</v>
      </c>
    </row>
    <row r="1218" spans="1:5" x14ac:dyDescent="0.35">
      <c r="A1218" t="s">
        <v>1319</v>
      </c>
      <c r="B1218" t="s">
        <v>1554</v>
      </c>
      <c r="C1218" t="s">
        <v>30</v>
      </c>
      <c r="D1218">
        <v>162000</v>
      </c>
      <c r="E1218" t="s">
        <v>4</v>
      </c>
    </row>
    <row r="1219" spans="1:5" x14ac:dyDescent="0.35">
      <c r="A1219" t="s">
        <v>1320</v>
      </c>
      <c r="B1219" t="s">
        <v>1542</v>
      </c>
      <c r="C1219" t="s">
        <v>18</v>
      </c>
      <c r="D1219">
        <v>62400</v>
      </c>
      <c r="E1219" t="s">
        <v>4</v>
      </c>
    </row>
    <row r="1220" spans="1:5" x14ac:dyDescent="0.35">
      <c r="A1220" t="s">
        <v>1321</v>
      </c>
      <c r="B1220" t="s">
        <v>1542</v>
      </c>
      <c r="C1220" t="s">
        <v>18</v>
      </c>
      <c r="D1220">
        <v>53500</v>
      </c>
      <c r="E1220" t="s">
        <v>4</v>
      </c>
    </row>
    <row r="1221" spans="1:5" x14ac:dyDescent="0.35">
      <c r="A1221" t="s">
        <v>1322</v>
      </c>
      <c r="B1221" t="s">
        <v>1538</v>
      </c>
      <c r="C1221" t="s">
        <v>14</v>
      </c>
      <c r="D1221">
        <v>25500</v>
      </c>
      <c r="E1221" t="s">
        <v>4</v>
      </c>
    </row>
    <row r="1222" spans="1:5" x14ac:dyDescent="0.35">
      <c r="A1222" t="s">
        <v>1323</v>
      </c>
      <c r="B1222" t="s">
        <v>1538</v>
      </c>
      <c r="C1222" t="s">
        <v>14</v>
      </c>
      <c r="D1222">
        <v>140800</v>
      </c>
      <c r="E1222" t="s">
        <v>4</v>
      </c>
    </row>
    <row r="1223" spans="1:5" x14ac:dyDescent="0.35">
      <c r="A1223" t="s">
        <v>1324</v>
      </c>
      <c r="B1223" t="s">
        <v>1540</v>
      </c>
      <c r="C1223" t="s">
        <v>16</v>
      </c>
      <c r="D1223">
        <v>52100</v>
      </c>
      <c r="E1223" t="s">
        <v>4</v>
      </c>
    </row>
    <row r="1224" spans="1:5" x14ac:dyDescent="0.35">
      <c r="A1224" t="s">
        <v>1325</v>
      </c>
      <c r="B1224" t="s">
        <v>1540</v>
      </c>
      <c r="C1224" t="s">
        <v>16</v>
      </c>
      <c r="D1224">
        <v>62600</v>
      </c>
      <c r="E1224" t="s">
        <v>4</v>
      </c>
    </row>
    <row r="1225" spans="1:5" x14ac:dyDescent="0.35">
      <c r="A1225" t="s">
        <v>1326</v>
      </c>
      <c r="B1225" t="s">
        <v>1540</v>
      </c>
      <c r="C1225" t="s">
        <v>16</v>
      </c>
      <c r="D1225">
        <v>65600</v>
      </c>
      <c r="E1225" t="s">
        <v>4</v>
      </c>
    </row>
    <row r="1226" spans="1:5" x14ac:dyDescent="0.35">
      <c r="A1226" t="s">
        <v>1327</v>
      </c>
      <c r="B1226" t="s">
        <v>1541</v>
      </c>
      <c r="C1226" t="s">
        <v>17</v>
      </c>
      <c r="D1226">
        <v>277400</v>
      </c>
      <c r="E1226" t="s">
        <v>4</v>
      </c>
    </row>
    <row r="1227" spans="1:5" x14ac:dyDescent="0.35">
      <c r="A1227" t="s">
        <v>1328</v>
      </c>
      <c r="B1227" t="s">
        <v>1543</v>
      </c>
      <c r="C1227" t="s">
        <v>19</v>
      </c>
      <c r="D1227">
        <v>60900</v>
      </c>
      <c r="E1227" t="s">
        <v>4</v>
      </c>
    </row>
    <row r="1228" spans="1:5" x14ac:dyDescent="0.35">
      <c r="A1228" t="s">
        <v>1329</v>
      </c>
      <c r="B1228" t="s">
        <v>1542</v>
      </c>
      <c r="C1228" t="s">
        <v>18</v>
      </c>
      <c r="D1228">
        <v>37100</v>
      </c>
      <c r="E1228" t="s">
        <v>4</v>
      </c>
    </row>
    <row r="1229" spans="1:5" x14ac:dyDescent="0.35">
      <c r="A1229" t="s">
        <v>1330</v>
      </c>
      <c r="B1229" t="s">
        <v>1616</v>
      </c>
      <c r="C1229" t="s">
        <v>92</v>
      </c>
      <c r="D1229">
        <v>38600</v>
      </c>
      <c r="E1229" t="s">
        <v>4</v>
      </c>
    </row>
    <row r="1230" spans="1:5" x14ac:dyDescent="0.35">
      <c r="A1230" t="s">
        <v>1331</v>
      </c>
      <c r="B1230" t="s">
        <v>1538</v>
      </c>
      <c r="C1230" t="s">
        <v>14</v>
      </c>
      <c r="D1230">
        <v>39400</v>
      </c>
      <c r="E1230" t="s">
        <v>4</v>
      </c>
    </row>
    <row r="1231" spans="1:5" x14ac:dyDescent="0.35">
      <c r="A1231" t="s">
        <v>1332</v>
      </c>
      <c r="B1231" t="s">
        <v>1538</v>
      </c>
      <c r="C1231" t="s">
        <v>14</v>
      </c>
      <c r="D1231">
        <v>49700</v>
      </c>
      <c r="E1231" t="s">
        <v>4</v>
      </c>
    </row>
    <row r="1232" spans="1:5" x14ac:dyDescent="0.35">
      <c r="A1232" t="s">
        <v>1333</v>
      </c>
      <c r="B1232" t="s">
        <v>1538</v>
      </c>
      <c r="C1232" t="s">
        <v>14</v>
      </c>
      <c r="D1232">
        <v>49900</v>
      </c>
      <c r="E1232" t="s">
        <v>4</v>
      </c>
    </row>
    <row r="1233" spans="1:5" x14ac:dyDescent="0.35">
      <c r="A1233" t="s">
        <v>1334</v>
      </c>
      <c r="B1233" t="s">
        <v>1590</v>
      </c>
      <c r="C1233" t="s">
        <v>66</v>
      </c>
      <c r="D1233">
        <v>161400</v>
      </c>
      <c r="E1233" t="s">
        <v>4</v>
      </c>
    </row>
    <row r="1234" spans="1:5" x14ac:dyDescent="0.35">
      <c r="A1234" t="s">
        <v>1335</v>
      </c>
      <c r="B1234" t="s">
        <v>1540</v>
      </c>
      <c r="C1234" t="s">
        <v>16</v>
      </c>
      <c r="D1234">
        <v>56400</v>
      </c>
      <c r="E1234" t="s">
        <v>4</v>
      </c>
    </row>
    <row r="1235" spans="1:5" x14ac:dyDescent="0.35">
      <c r="A1235" t="s">
        <v>1336</v>
      </c>
      <c r="B1235" t="s">
        <v>1557</v>
      </c>
      <c r="C1235" t="s">
        <v>33</v>
      </c>
      <c r="D1235">
        <v>53400</v>
      </c>
      <c r="E1235" t="s">
        <v>4</v>
      </c>
    </row>
    <row r="1236" spans="1:5" x14ac:dyDescent="0.35">
      <c r="A1236" t="s">
        <v>1337</v>
      </c>
      <c r="B1236" t="s">
        <v>1540</v>
      </c>
      <c r="C1236" t="s">
        <v>16</v>
      </c>
      <c r="D1236">
        <v>210700</v>
      </c>
      <c r="E1236" t="s">
        <v>4</v>
      </c>
    </row>
    <row r="1237" spans="1:5" x14ac:dyDescent="0.35">
      <c r="A1237" t="s">
        <v>1338</v>
      </c>
      <c r="B1237" t="s">
        <v>1540</v>
      </c>
      <c r="C1237" t="s">
        <v>16</v>
      </c>
      <c r="D1237">
        <v>64100</v>
      </c>
      <c r="E1237" t="s">
        <v>4</v>
      </c>
    </row>
    <row r="1238" spans="1:5" x14ac:dyDescent="0.35">
      <c r="A1238" t="s">
        <v>1339</v>
      </c>
      <c r="B1238" t="s">
        <v>1540</v>
      </c>
      <c r="C1238" t="s">
        <v>16</v>
      </c>
      <c r="D1238">
        <v>64200</v>
      </c>
      <c r="E1238" t="s">
        <v>4</v>
      </c>
    </row>
    <row r="1239" spans="1:5" x14ac:dyDescent="0.35">
      <c r="A1239" t="s">
        <v>1340</v>
      </c>
      <c r="B1239" t="s">
        <v>1540</v>
      </c>
      <c r="C1239" t="s">
        <v>16</v>
      </c>
      <c r="D1239">
        <v>44300</v>
      </c>
      <c r="E1239" t="s">
        <v>4</v>
      </c>
    </row>
    <row r="1240" spans="1:5" x14ac:dyDescent="0.35">
      <c r="A1240" t="s">
        <v>1341</v>
      </c>
      <c r="B1240" t="s">
        <v>1558</v>
      </c>
      <c r="C1240" t="s">
        <v>34</v>
      </c>
      <c r="D1240">
        <v>55900</v>
      </c>
      <c r="E1240" t="s">
        <v>4</v>
      </c>
    </row>
    <row r="1241" spans="1:5" x14ac:dyDescent="0.35">
      <c r="A1241" t="s">
        <v>1342</v>
      </c>
      <c r="B1241" t="s">
        <v>1587</v>
      </c>
      <c r="C1241" t="s">
        <v>63</v>
      </c>
      <c r="D1241">
        <v>51900</v>
      </c>
      <c r="E1241" t="s">
        <v>4</v>
      </c>
    </row>
    <row r="1242" spans="1:5" x14ac:dyDescent="0.35">
      <c r="A1242" t="s">
        <v>1343</v>
      </c>
      <c r="B1242" t="s">
        <v>1587</v>
      </c>
      <c r="C1242" t="s">
        <v>63</v>
      </c>
      <c r="D1242">
        <v>62500</v>
      </c>
      <c r="E1242" t="s">
        <v>4</v>
      </c>
    </row>
    <row r="1243" spans="1:5" x14ac:dyDescent="0.35">
      <c r="A1243" t="s">
        <v>1344</v>
      </c>
      <c r="B1243" t="s">
        <v>1587</v>
      </c>
      <c r="C1243" t="s">
        <v>63</v>
      </c>
      <c r="D1243">
        <v>68900</v>
      </c>
      <c r="E1243" t="s">
        <v>4</v>
      </c>
    </row>
    <row r="1244" spans="1:5" x14ac:dyDescent="0.35">
      <c r="A1244" t="s">
        <v>1345</v>
      </c>
      <c r="B1244" t="s">
        <v>1562</v>
      </c>
      <c r="C1244" t="s">
        <v>38</v>
      </c>
      <c r="D1244">
        <v>52900</v>
      </c>
      <c r="E1244" t="s">
        <v>4</v>
      </c>
    </row>
    <row r="1245" spans="1:5" x14ac:dyDescent="0.35">
      <c r="A1245" t="s">
        <v>1346</v>
      </c>
      <c r="B1245" t="s">
        <v>1557</v>
      </c>
      <c r="C1245" t="s">
        <v>33</v>
      </c>
      <c r="D1245">
        <v>60400</v>
      </c>
      <c r="E1245" t="s">
        <v>4</v>
      </c>
    </row>
    <row r="1246" spans="1:5" x14ac:dyDescent="0.35">
      <c r="A1246" t="s">
        <v>1347</v>
      </c>
      <c r="B1246" t="s">
        <v>1542</v>
      </c>
      <c r="C1246" t="s">
        <v>18</v>
      </c>
      <c r="D1246">
        <v>193400</v>
      </c>
      <c r="E1246" t="s">
        <v>4</v>
      </c>
    </row>
    <row r="1247" spans="1:5" x14ac:dyDescent="0.35">
      <c r="A1247" t="s">
        <v>1348</v>
      </c>
      <c r="B1247" t="s">
        <v>1568</v>
      </c>
      <c r="C1247" t="s">
        <v>44</v>
      </c>
      <c r="D1247">
        <v>129300</v>
      </c>
      <c r="E1247" t="s">
        <v>4</v>
      </c>
    </row>
    <row r="1248" spans="1:5" x14ac:dyDescent="0.35">
      <c r="A1248" t="s">
        <v>1349</v>
      </c>
      <c r="B1248" t="s">
        <v>1583</v>
      </c>
      <c r="C1248" t="s">
        <v>59</v>
      </c>
      <c r="D1248">
        <v>47900</v>
      </c>
      <c r="E1248" t="s">
        <v>4</v>
      </c>
    </row>
    <row r="1249" spans="1:5" x14ac:dyDescent="0.35">
      <c r="A1249" t="s">
        <v>1350</v>
      </c>
      <c r="B1249" t="s">
        <v>1558</v>
      </c>
      <c r="C1249" t="s">
        <v>34</v>
      </c>
      <c r="D1249">
        <v>48100</v>
      </c>
      <c r="E1249" t="s">
        <v>4</v>
      </c>
    </row>
    <row r="1250" spans="1:5" x14ac:dyDescent="0.35">
      <c r="A1250" t="s">
        <v>1351</v>
      </c>
      <c r="B1250" t="s">
        <v>1543</v>
      </c>
      <c r="C1250" t="s">
        <v>19</v>
      </c>
      <c r="D1250">
        <v>25700</v>
      </c>
      <c r="E1250" t="s">
        <v>4</v>
      </c>
    </row>
    <row r="1251" spans="1:5" x14ac:dyDescent="0.35">
      <c r="A1251" t="s">
        <v>1352</v>
      </c>
      <c r="B1251" t="s">
        <v>1543</v>
      </c>
      <c r="C1251" t="s">
        <v>19</v>
      </c>
      <c r="D1251">
        <v>57200</v>
      </c>
      <c r="E1251" t="s">
        <v>4</v>
      </c>
    </row>
    <row r="1252" spans="1:5" x14ac:dyDescent="0.35">
      <c r="A1252" t="s">
        <v>1353</v>
      </c>
      <c r="B1252" t="s">
        <v>1543</v>
      </c>
      <c r="C1252" t="s">
        <v>19</v>
      </c>
      <c r="D1252">
        <v>75900</v>
      </c>
      <c r="E1252" t="s">
        <v>4</v>
      </c>
    </row>
    <row r="1253" spans="1:5" x14ac:dyDescent="0.35">
      <c r="A1253" t="s">
        <v>1354</v>
      </c>
      <c r="B1253" t="s">
        <v>1540</v>
      </c>
      <c r="C1253" t="s">
        <v>16</v>
      </c>
      <c r="D1253">
        <v>41600</v>
      </c>
      <c r="E1253" t="s">
        <v>4</v>
      </c>
    </row>
    <row r="1254" spans="1:5" x14ac:dyDescent="0.35">
      <c r="A1254" t="s">
        <v>1355</v>
      </c>
      <c r="B1254" t="s">
        <v>1540</v>
      </c>
      <c r="C1254" t="s">
        <v>16</v>
      </c>
      <c r="D1254">
        <v>45100</v>
      </c>
      <c r="E1254" t="s">
        <v>4</v>
      </c>
    </row>
    <row r="1255" spans="1:5" x14ac:dyDescent="0.35">
      <c r="A1255" t="s">
        <v>1356</v>
      </c>
      <c r="B1255" t="s">
        <v>1551</v>
      </c>
      <c r="C1255" t="s">
        <v>27</v>
      </c>
      <c r="D1255">
        <v>122100</v>
      </c>
      <c r="E1255" t="s">
        <v>4</v>
      </c>
    </row>
    <row r="1256" spans="1:5" x14ac:dyDescent="0.35">
      <c r="A1256" t="s">
        <v>1357</v>
      </c>
      <c r="B1256" t="s">
        <v>1542</v>
      </c>
      <c r="C1256" t="s">
        <v>18</v>
      </c>
      <c r="D1256">
        <v>61100</v>
      </c>
      <c r="E1256" t="s">
        <v>4</v>
      </c>
    </row>
    <row r="1257" spans="1:5" x14ac:dyDescent="0.35">
      <c r="A1257" t="s">
        <v>1358</v>
      </c>
      <c r="B1257" t="s">
        <v>1542</v>
      </c>
      <c r="C1257" t="s">
        <v>18</v>
      </c>
      <c r="D1257">
        <v>34500</v>
      </c>
      <c r="E1257" t="s">
        <v>4</v>
      </c>
    </row>
    <row r="1258" spans="1:5" x14ac:dyDescent="0.35">
      <c r="A1258" t="s">
        <v>1359</v>
      </c>
      <c r="B1258" t="s">
        <v>1540</v>
      </c>
      <c r="C1258" t="s">
        <v>16</v>
      </c>
      <c r="D1258">
        <v>247400</v>
      </c>
      <c r="E1258" t="s">
        <v>4</v>
      </c>
    </row>
    <row r="1259" spans="1:5" x14ac:dyDescent="0.35">
      <c r="A1259" t="s">
        <v>1360</v>
      </c>
      <c r="B1259" t="s">
        <v>1538</v>
      </c>
      <c r="C1259" t="s">
        <v>14</v>
      </c>
      <c r="D1259">
        <v>56100</v>
      </c>
      <c r="E1259" t="s">
        <v>4</v>
      </c>
    </row>
    <row r="1260" spans="1:5" x14ac:dyDescent="0.35">
      <c r="A1260" t="s">
        <v>1361</v>
      </c>
      <c r="B1260" t="s">
        <v>1538</v>
      </c>
      <c r="C1260" t="s">
        <v>14</v>
      </c>
      <c r="D1260">
        <v>64400</v>
      </c>
      <c r="E1260" t="s">
        <v>4</v>
      </c>
    </row>
    <row r="1261" spans="1:5" x14ac:dyDescent="0.35">
      <c r="A1261" t="s">
        <v>1362</v>
      </c>
      <c r="B1261" t="s">
        <v>1538</v>
      </c>
      <c r="C1261" t="s">
        <v>14</v>
      </c>
      <c r="D1261">
        <v>75500</v>
      </c>
      <c r="E1261" t="s">
        <v>4</v>
      </c>
    </row>
    <row r="1262" spans="1:5" x14ac:dyDescent="0.35">
      <c r="A1262" t="s">
        <v>1363</v>
      </c>
      <c r="B1262" t="s">
        <v>1538</v>
      </c>
      <c r="C1262" t="s">
        <v>14</v>
      </c>
      <c r="D1262">
        <v>148400</v>
      </c>
      <c r="E1262" t="s">
        <v>4</v>
      </c>
    </row>
    <row r="1263" spans="1:5" x14ac:dyDescent="0.35">
      <c r="A1263" t="s">
        <v>1364</v>
      </c>
      <c r="B1263" t="s">
        <v>1538</v>
      </c>
      <c r="C1263" t="s">
        <v>14</v>
      </c>
      <c r="D1263">
        <v>184400</v>
      </c>
      <c r="E1263" t="s">
        <v>4</v>
      </c>
    </row>
    <row r="1264" spans="1:5" x14ac:dyDescent="0.35">
      <c r="A1264" t="s">
        <v>1365</v>
      </c>
      <c r="B1264" t="s">
        <v>1547</v>
      </c>
      <c r="C1264" t="s">
        <v>23</v>
      </c>
      <c r="D1264">
        <v>42400</v>
      </c>
      <c r="E1264" t="s">
        <v>4</v>
      </c>
    </row>
    <row r="1265" spans="1:5" x14ac:dyDescent="0.35">
      <c r="A1265" t="s">
        <v>1366</v>
      </c>
      <c r="B1265" t="s">
        <v>1568</v>
      </c>
      <c r="C1265" t="s">
        <v>44</v>
      </c>
      <c r="D1265">
        <v>86300</v>
      </c>
      <c r="E1265" t="s">
        <v>4</v>
      </c>
    </row>
    <row r="1266" spans="1:5" x14ac:dyDescent="0.35">
      <c r="A1266" t="s">
        <v>1367</v>
      </c>
      <c r="B1266" t="s">
        <v>1621</v>
      </c>
      <c r="C1266" t="s">
        <v>97</v>
      </c>
      <c r="D1266">
        <v>126800</v>
      </c>
      <c r="E1266" t="s">
        <v>4</v>
      </c>
    </row>
    <row r="1267" spans="1:5" x14ac:dyDescent="0.35">
      <c r="A1267" t="s">
        <v>1368</v>
      </c>
      <c r="B1267" t="s">
        <v>1625</v>
      </c>
      <c r="C1267" t="s">
        <v>101</v>
      </c>
      <c r="D1267">
        <v>63600</v>
      </c>
      <c r="E1267" t="s">
        <v>4</v>
      </c>
    </row>
    <row r="1268" spans="1:5" x14ac:dyDescent="0.35">
      <c r="A1268" t="s">
        <v>1369</v>
      </c>
      <c r="B1268" t="s">
        <v>1542</v>
      </c>
      <c r="C1268" t="s">
        <v>18</v>
      </c>
      <c r="D1268">
        <v>62600</v>
      </c>
      <c r="E1268" t="s">
        <v>4</v>
      </c>
    </row>
    <row r="1269" spans="1:5" x14ac:dyDescent="0.35">
      <c r="A1269" t="s">
        <v>1370</v>
      </c>
      <c r="B1269" t="s">
        <v>1542</v>
      </c>
      <c r="C1269" t="s">
        <v>18</v>
      </c>
      <c r="D1269">
        <v>48600</v>
      </c>
      <c r="E1269" t="s">
        <v>4</v>
      </c>
    </row>
    <row r="1270" spans="1:5" x14ac:dyDescent="0.35">
      <c r="A1270" t="s">
        <v>1371</v>
      </c>
      <c r="B1270" t="s">
        <v>1542</v>
      </c>
      <c r="C1270" t="s">
        <v>18</v>
      </c>
      <c r="D1270">
        <v>57900</v>
      </c>
      <c r="E1270" t="s">
        <v>4</v>
      </c>
    </row>
    <row r="1271" spans="1:5" x14ac:dyDescent="0.35">
      <c r="A1271" t="s">
        <v>1372</v>
      </c>
      <c r="B1271" t="s">
        <v>1551</v>
      </c>
      <c r="C1271" t="s">
        <v>27</v>
      </c>
      <c r="D1271">
        <v>51500</v>
      </c>
      <c r="E1271" t="s">
        <v>4</v>
      </c>
    </row>
    <row r="1272" spans="1:5" x14ac:dyDescent="0.35">
      <c r="A1272" t="s">
        <v>1373</v>
      </c>
      <c r="B1272" t="s">
        <v>1538</v>
      </c>
      <c r="C1272" t="s">
        <v>14</v>
      </c>
      <c r="D1272">
        <v>286400</v>
      </c>
      <c r="E1272" t="s">
        <v>4</v>
      </c>
    </row>
    <row r="1273" spans="1:5" x14ac:dyDescent="0.35">
      <c r="A1273" t="s">
        <v>1374</v>
      </c>
      <c r="B1273" t="s">
        <v>1572</v>
      </c>
      <c r="C1273" t="s">
        <v>48</v>
      </c>
      <c r="D1273">
        <v>61400</v>
      </c>
      <c r="E1273" t="s">
        <v>4</v>
      </c>
    </row>
    <row r="1274" spans="1:5" x14ac:dyDescent="0.35">
      <c r="A1274" t="s">
        <v>1375</v>
      </c>
      <c r="B1274" t="s">
        <v>1540</v>
      </c>
      <c r="C1274" t="s">
        <v>16</v>
      </c>
      <c r="D1274">
        <v>1800</v>
      </c>
      <c r="E1274" t="s">
        <v>4</v>
      </c>
    </row>
    <row r="1275" spans="1:5" x14ac:dyDescent="0.35">
      <c r="A1275" t="s">
        <v>1376</v>
      </c>
      <c r="B1275" t="s">
        <v>1540</v>
      </c>
      <c r="C1275" t="s">
        <v>16</v>
      </c>
      <c r="D1275">
        <v>5700</v>
      </c>
      <c r="E1275" t="s">
        <v>4</v>
      </c>
    </row>
    <row r="1276" spans="1:5" x14ac:dyDescent="0.35">
      <c r="A1276" t="s">
        <v>1377</v>
      </c>
      <c r="B1276" t="s">
        <v>1540</v>
      </c>
      <c r="C1276" t="s">
        <v>16</v>
      </c>
      <c r="D1276">
        <v>4300</v>
      </c>
      <c r="E1276" t="s">
        <v>4</v>
      </c>
    </row>
    <row r="1277" spans="1:5" x14ac:dyDescent="0.35">
      <c r="A1277" t="s">
        <v>1378</v>
      </c>
      <c r="B1277" t="s">
        <v>1550</v>
      </c>
      <c r="C1277" t="s">
        <v>26</v>
      </c>
      <c r="D1277">
        <v>66900</v>
      </c>
      <c r="E1277" t="s">
        <v>4</v>
      </c>
    </row>
    <row r="1278" spans="1:5" x14ac:dyDescent="0.35">
      <c r="A1278" t="s">
        <v>1379</v>
      </c>
      <c r="B1278" t="s">
        <v>1550</v>
      </c>
      <c r="C1278" t="s">
        <v>26</v>
      </c>
      <c r="D1278">
        <v>13300</v>
      </c>
      <c r="E1278" t="s">
        <v>4</v>
      </c>
    </row>
    <row r="1279" spans="1:5" x14ac:dyDescent="0.35">
      <c r="A1279" t="s">
        <v>1380</v>
      </c>
      <c r="B1279" t="s">
        <v>1558</v>
      </c>
      <c r="C1279" t="s">
        <v>34</v>
      </c>
      <c r="D1279">
        <v>5000</v>
      </c>
      <c r="E1279" t="s">
        <v>4</v>
      </c>
    </row>
    <row r="1280" spans="1:5" x14ac:dyDescent="0.35">
      <c r="A1280" t="s">
        <v>1381</v>
      </c>
      <c r="B1280" t="s">
        <v>1540</v>
      </c>
      <c r="C1280" t="s">
        <v>16</v>
      </c>
      <c r="D1280">
        <v>1800</v>
      </c>
      <c r="E1280" t="s">
        <v>4</v>
      </c>
    </row>
    <row r="1281" spans="1:5" x14ac:dyDescent="0.35">
      <c r="A1281" t="s">
        <v>1382</v>
      </c>
      <c r="B1281" t="s">
        <v>1534</v>
      </c>
      <c r="C1281" t="s">
        <v>10</v>
      </c>
      <c r="D1281">
        <v>6200</v>
      </c>
      <c r="E1281" t="s">
        <v>4</v>
      </c>
    </row>
    <row r="1282" spans="1:5" x14ac:dyDescent="0.35">
      <c r="A1282" t="s">
        <v>1383</v>
      </c>
      <c r="B1282" t="s">
        <v>1539</v>
      </c>
      <c r="C1282" t="s">
        <v>15</v>
      </c>
      <c r="D1282">
        <v>11100</v>
      </c>
      <c r="E1282" t="s">
        <v>4</v>
      </c>
    </row>
    <row r="1283" spans="1:5" x14ac:dyDescent="0.35">
      <c r="A1283" t="s">
        <v>1384</v>
      </c>
      <c r="B1283" t="s">
        <v>1540</v>
      </c>
      <c r="C1283" t="s">
        <v>16</v>
      </c>
      <c r="D1283">
        <v>6700</v>
      </c>
      <c r="E1283" t="s">
        <v>4</v>
      </c>
    </row>
    <row r="1284" spans="1:5" x14ac:dyDescent="0.35">
      <c r="A1284" t="s">
        <v>1385</v>
      </c>
      <c r="B1284" t="s">
        <v>1551</v>
      </c>
      <c r="C1284" t="s">
        <v>27</v>
      </c>
      <c r="D1284">
        <v>5600</v>
      </c>
      <c r="E1284" t="s">
        <v>4</v>
      </c>
    </row>
    <row r="1285" spans="1:5" x14ac:dyDescent="0.35">
      <c r="A1285" t="s">
        <v>1386</v>
      </c>
      <c r="B1285" t="s">
        <v>1542</v>
      </c>
      <c r="C1285" t="s">
        <v>18</v>
      </c>
      <c r="D1285">
        <v>49100</v>
      </c>
      <c r="E1285" t="s">
        <v>4</v>
      </c>
    </row>
    <row r="1286" spans="1:5" x14ac:dyDescent="0.35">
      <c r="A1286" t="s">
        <v>1387</v>
      </c>
      <c r="B1286" t="s">
        <v>1538</v>
      </c>
      <c r="C1286" t="s">
        <v>14</v>
      </c>
      <c r="D1286">
        <v>76100</v>
      </c>
      <c r="E1286" t="s">
        <v>4</v>
      </c>
    </row>
    <row r="1287" spans="1:5" x14ac:dyDescent="0.35">
      <c r="A1287" t="s">
        <v>1388</v>
      </c>
      <c r="B1287" t="s">
        <v>1558</v>
      </c>
      <c r="C1287" t="s">
        <v>34</v>
      </c>
      <c r="D1287">
        <v>55000</v>
      </c>
      <c r="E1287" t="s">
        <v>4</v>
      </c>
    </row>
    <row r="1288" spans="1:5" x14ac:dyDescent="0.35">
      <c r="A1288" t="s">
        <v>1389</v>
      </c>
      <c r="B1288" t="s">
        <v>1558</v>
      </c>
      <c r="C1288" t="s">
        <v>34</v>
      </c>
      <c r="D1288">
        <v>61900</v>
      </c>
      <c r="E1288" t="s">
        <v>4</v>
      </c>
    </row>
    <row r="1289" spans="1:5" x14ac:dyDescent="0.35">
      <c r="A1289" t="s">
        <v>1390</v>
      </c>
      <c r="B1289" t="s">
        <v>1587</v>
      </c>
      <c r="C1289" t="s">
        <v>63</v>
      </c>
      <c r="D1289">
        <v>164500</v>
      </c>
      <c r="E1289" t="s">
        <v>4</v>
      </c>
    </row>
    <row r="1290" spans="1:5" x14ac:dyDescent="0.35">
      <c r="A1290" t="s">
        <v>1391</v>
      </c>
      <c r="B1290" t="s">
        <v>1556</v>
      </c>
      <c r="C1290" t="s">
        <v>32</v>
      </c>
      <c r="D1290">
        <v>104200</v>
      </c>
      <c r="E1290" t="s">
        <v>4</v>
      </c>
    </row>
    <row r="1291" spans="1:5" x14ac:dyDescent="0.35">
      <c r="A1291" t="s">
        <v>1392</v>
      </c>
      <c r="B1291" t="s">
        <v>1556</v>
      </c>
      <c r="C1291" t="s">
        <v>32</v>
      </c>
      <c r="D1291">
        <v>176400</v>
      </c>
      <c r="E1291" t="s">
        <v>4</v>
      </c>
    </row>
    <row r="1292" spans="1:5" x14ac:dyDescent="0.35">
      <c r="A1292" t="s">
        <v>1393</v>
      </c>
      <c r="B1292" t="s">
        <v>1616</v>
      </c>
      <c r="C1292" t="s">
        <v>92</v>
      </c>
      <c r="D1292">
        <v>238500</v>
      </c>
      <c r="E1292" t="s">
        <v>4</v>
      </c>
    </row>
    <row r="1293" spans="1:5" x14ac:dyDescent="0.35">
      <c r="A1293" t="s">
        <v>1394</v>
      </c>
      <c r="B1293" t="s">
        <v>1558</v>
      </c>
      <c r="C1293" t="s">
        <v>34</v>
      </c>
      <c r="D1293">
        <v>134000</v>
      </c>
      <c r="E1293" t="s">
        <v>4</v>
      </c>
    </row>
    <row r="1294" spans="1:5" x14ac:dyDescent="0.35">
      <c r="A1294" t="s">
        <v>1395</v>
      </c>
      <c r="B1294" t="s">
        <v>1558</v>
      </c>
      <c r="C1294" t="s">
        <v>34</v>
      </c>
      <c r="D1294">
        <v>62800</v>
      </c>
      <c r="E1294" t="s">
        <v>4</v>
      </c>
    </row>
    <row r="1295" spans="1:5" x14ac:dyDescent="0.35">
      <c r="A1295" t="s">
        <v>1396</v>
      </c>
      <c r="B1295" t="s">
        <v>1558</v>
      </c>
      <c r="C1295" t="s">
        <v>34</v>
      </c>
      <c r="D1295">
        <v>44300</v>
      </c>
      <c r="E1295" t="s">
        <v>4</v>
      </c>
    </row>
    <row r="1296" spans="1:5" x14ac:dyDescent="0.35">
      <c r="A1296" t="s">
        <v>1397</v>
      </c>
      <c r="B1296" t="s">
        <v>1558</v>
      </c>
      <c r="C1296" t="s">
        <v>34</v>
      </c>
      <c r="D1296">
        <v>46600</v>
      </c>
      <c r="E1296" t="s">
        <v>4</v>
      </c>
    </row>
    <row r="1297" spans="1:5" x14ac:dyDescent="0.35">
      <c r="A1297" t="s">
        <v>1398</v>
      </c>
      <c r="B1297" t="s">
        <v>1539</v>
      </c>
      <c r="C1297" t="s">
        <v>15</v>
      </c>
      <c r="D1297">
        <v>51300</v>
      </c>
      <c r="E1297" t="s">
        <v>4</v>
      </c>
    </row>
    <row r="1298" spans="1:5" x14ac:dyDescent="0.35">
      <c r="A1298" t="s">
        <v>1399</v>
      </c>
      <c r="B1298" t="s">
        <v>1542</v>
      </c>
      <c r="C1298" t="s">
        <v>18</v>
      </c>
      <c r="D1298">
        <v>37800</v>
      </c>
      <c r="E1298" t="s">
        <v>4</v>
      </c>
    </row>
    <row r="1299" spans="1:5" x14ac:dyDescent="0.35">
      <c r="A1299" t="s">
        <v>1400</v>
      </c>
      <c r="B1299" t="s">
        <v>1542</v>
      </c>
      <c r="C1299" t="s">
        <v>18</v>
      </c>
      <c r="D1299">
        <v>25000</v>
      </c>
      <c r="E1299" t="s">
        <v>4</v>
      </c>
    </row>
    <row r="1300" spans="1:5" x14ac:dyDescent="0.35">
      <c r="A1300" t="s">
        <v>1401</v>
      </c>
      <c r="B1300" t="s">
        <v>1550</v>
      </c>
      <c r="C1300" t="s">
        <v>26</v>
      </c>
      <c r="D1300">
        <v>252700</v>
      </c>
      <c r="E1300" t="s">
        <v>4</v>
      </c>
    </row>
    <row r="1301" spans="1:5" x14ac:dyDescent="0.35">
      <c r="A1301" t="s">
        <v>1402</v>
      </c>
      <c r="B1301" t="s">
        <v>1540</v>
      </c>
      <c r="C1301" t="s">
        <v>16</v>
      </c>
      <c r="D1301">
        <v>256200</v>
      </c>
      <c r="E1301" t="s">
        <v>4</v>
      </c>
    </row>
    <row r="1302" spans="1:5" x14ac:dyDescent="0.35">
      <c r="A1302" t="s">
        <v>1403</v>
      </c>
      <c r="B1302" t="s">
        <v>1540</v>
      </c>
      <c r="C1302" t="s">
        <v>16</v>
      </c>
      <c r="D1302">
        <v>205700</v>
      </c>
      <c r="E1302" t="s">
        <v>4</v>
      </c>
    </row>
    <row r="1303" spans="1:5" x14ac:dyDescent="0.35">
      <c r="A1303" t="s">
        <v>1404</v>
      </c>
      <c r="B1303" t="s">
        <v>1540</v>
      </c>
      <c r="C1303" t="s">
        <v>16</v>
      </c>
      <c r="D1303">
        <v>29500</v>
      </c>
      <c r="E1303" t="s">
        <v>4</v>
      </c>
    </row>
    <row r="1304" spans="1:5" x14ac:dyDescent="0.35">
      <c r="A1304" t="s">
        <v>1405</v>
      </c>
      <c r="B1304" t="s">
        <v>1540</v>
      </c>
      <c r="C1304" t="s">
        <v>16</v>
      </c>
      <c r="D1304">
        <v>43600</v>
      </c>
      <c r="E1304" t="s">
        <v>4</v>
      </c>
    </row>
    <row r="1305" spans="1:5" x14ac:dyDescent="0.35">
      <c r="A1305" t="s">
        <v>1406</v>
      </c>
      <c r="B1305" t="s">
        <v>1540</v>
      </c>
      <c r="C1305" t="s">
        <v>16</v>
      </c>
      <c r="D1305">
        <v>65800</v>
      </c>
      <c r="E1305" t="s">
        <v>4</v>
      </c>
    </row>
    <row r="1306" spans="1:5" x14ac:dyDescent="0.35">
      <c r="A1306" t="s">
        <v>1407</v>
      </c>
      <c r="B1306" t="s">
        <v>1543</v>
      </c>
      <c r="C1306" t="s">
        <v>19</v>
      </c>
      <c r="D1306">
        <v>265200</v>
      </c>
      <c r="E1306" t="s">
        <v>4</v>
      </c>
    </row>
    <row r="1307" spans="1:5" x14ac:dyDescent="0.35">
      <c r="A1307" t="s">
        <v>1408</v>
      </c>
      <c r="B1307" t="s">
        <v>1543</v>
      </c>
      <c r="C1307" t="s">
        <v>19</v>
      </c>
      <c r="D1307">
        <v>154500</v>
      </c>
      <c r="E1307" t="s">
        <v>4</v>
      </c>
    </row>
    <row r="1308" spans="1:5" x14ac:dyDescent="0.35">
      <c r="A1308" t="s">
        <v>1409</v>
      </c>
      <c r="B1308" t="s">
        <v>1543</v>
      </c>
      <c r="C1308" t="s">
        <v>19</v>
      </c>
      <c r="D1308">
        <v>61900</v>
      </c>
      <c r="E1308" t="s">
        <v>4</v>
      </c>
    </row>
    <row r="1309" spans="1:5" x14ac:dyDescent="0.35">
      <c r="A1309" t="s">
        <v>1410</v>
      </c>
      <c r="B1309" t="s">
        <v>1558</v>
      </c>
      <c r="C1309" t="s">
        <v>34</v>
      </c>
      <c r="D1309">
        <v>207900</v>
      </c>
      <c r="E1309" t="s">
        <v>4</v>
      </c>
    </row>
    <row r="1310" spans="1:5" x14ac:dyDescent="0.35">
      <c r="A1310" t="s">
        <v>1411</v>
      </c>
      <c r="B1310" t="s">
        <v>1558</v>
      </c>
      <c r="C1310" t="s">
        <v>34</v>
      </c>
      <c r="D1310">
        <v>243700</v>
      </c>
      <c r="E1310" t="s">
        <v>4</v>
      </c>
    </row>
    <row r="1311" spans="1:5" x14ac:dyDescent="0.35">
      <c r="A1311" t="s">
        <v>1412</v>
      </c>
      <c r="B1311" t="s">
        <v>1538</v>
      </c>
      <c r="C1311" t="s">
        <v>14</v>
      </c>
      <c r="D1311">
        <v>71800</v>
      </c>
      <c r="E1311" t="s">
        <v>4</v>
      </c>
    </row>
    <row r="1312" spans="1:5" x14ac:dyDescent="0.35">
      <c r="A1312" t="s">
        <v>1413</v>
      </c>
      <c r="B1312" t="s">
        <v>1538</v>
      </c>
      <c r="C1312" t="s">
        <v>14</v>
      </c>
      <c r="D1312">
        <v>217300</v>
      </c>
      <c r="E1312" t="s">
        <v>4</v>
      </c>
    </row>
    <row r="1313" spans="1:5" x14ac:dyDescent="0.35">
      <c r="A1313" t="s">
        <v>1414</v>
      </c>
      <c r="B1313" t="s">
        <v>1538</v>
      </c>
      <c r="C1313" t="s">
        <v>14</v>
      </c>
      <c r="D1313">
        <v>64300</v>
      </c>
      <c r="E1313" t="s">
        <v>4</v>
      </c>
    </row>
    <row r="1314" spans="1:5" x14ac:dyDescent="0.35">
      <c r="A1314" t="s">
        <v>1415</v>
      </c>
      <c r="B1314" t="s">
        <v>1538</v>
      </c>
      <c r="C1314" t="s">
        <v>14</v>
      </c>
      <c r="D1314">
        <v>48000</v>
      </c>
      <c r="E1314" t="s">
        <v>4</v>
      </c>
    </row>
    <row r="1315" spans="1:5" x14ac:dyDescent="0.35">
      <c r="A1315" t="s">
        <v>1416</v>
      </c>
      <c r="B1315" t="s">
        <v>1538</v>
      </c>
      <c r="C1315" t="s">
        <v>14</v>
      </c>
      <c r="D1315">
        <v>148400</v>
      </c>
      <c r="E1315" t="s">
        <v>4</v>
      </c>
    </row>
    <row r="1316" spans="1:5" x14ac:dyDescent="0.35">
      <c r="A1316" t="s">
        <v>1417</v>
      </c>
      <c r="B1316" t="s">
        <v>1538</v>
      </c>
      <c r="C1316" t="s">
        <v>14</v>
      </c>
      <c r="D1316">
        <v>114000</v>
      </c>
      <c r="E1316" t="s">
        <v>4</v>
      </c>
    </row>
    <row r="1317" spans="1:5" x14ac:dyDescent="0.35">
      <c r="A1317" t="s">
        <v>1418</v>
      </c>
      <c r="B1317" t="s">
        <v>1563</v>
      </c>
      <c r="C1317" t="s">
        <v>39</v>
      </c>
      <c r="D1317">
        <v>75100</v>
      </c>
      <c r="E1317" t="s">
        <v>4</v>
      </c>
    </row>
    <row r="1318" spans="1:5" x14ac:dyDescent="0.35">
      <c r="A1318" t="s">
        <v>1419</v>
      </c>
      <c r="B1318" t="s">
        <v>1542</v>
      </c>
      <c r="C1318" t="s">
        <v>18</v>
      </c>
      <c r="D1318">
        <v>62000</v>
      </c>
      <c r="E1318" t="s">
        <v>4</v>
      </c>
    </row>
    <row r="1319" spans="1:5" x14ac:dyDescent="0.35">
      <c r="A1319" t="s">
        <v>1420</v>
      </c>
      <c r="B1319" t="s">
        <v>1558</v>
      </c>
      <c r="C1319" t="s">
        <v>34</v>
      </c>
      <c r="D1319">
        <v>49300</v>
      </c>
      <c r="E1319" t="s">
        <v>4</v>
      </c>
    </row>
    <row r="1320" spans="1:5" x14ac:dyDescent="0.35">
      <c r="A1320" t="s">
        <v>1421</v>
      </c>
      <c r="B1320" t="s">
        <v>1540</v>
      </c>
      <c r="C1320" t="s">
        <v>16</v>
      </c>
      <c r="D1320">
        <v>54000</v>
      </c>
      <c r="E1320" t="s">
        <v>4</v>
      </c>
    </row>
    <row r="1321" spans="1:5" x14ac:dyDescent="0.35">
      <c r="A1321" t="s">
        <v>1422</v>
      </c>
      <c r="B1321" t="s">
        <v>1543</v>
      </c>
      <c r="C1321" t="s">
        <v>19</v>
      </c>
      <c r="D1321">
        <v>74300</v>
      </c>
      <c r="E1321" t="s">
        <v>4</v>
      </c>
    </row>
    <row r="1322" spans="1:5" x14ac:dyDescent="0.35">
      <c r="A1322" t="s">
        <v>1423</v>
      </c>
      <c r="B1322" t="s">
        <v>1540</v>
      </c>
      <c r="C1322" t="s">
        <v>16</v>
      </c>
      <c r="D1322">
        <v>50000</v>
      </c>
      <c r="E1322" t="s">
        <v>4</v>
      </c>
    </row>
    <row r="1323" spans="1:5" x14ac:dyDescent="0.35">
      <c r="A1323" t="s">
        <v>1424</v>
      </c>
      <c r="B1323" t="s">
        <v>1562</v>
      </c>
      <c r="C1323" t="s">
        <v>38</v>
      </c>
      <c r="D1323">
        <v>42300</v>
      </c>
      <c r="E1323" t="s">
        <v>4</v>
      </c>
    </row>
    <row r="1324" spans="1:5" x14ac:dyDescent="0.35">
      <c r="A1324" t="s">
        <v>1425</v>
      </c>
      <c r="B1324" t="s">
        <v>1558</v>
      </c>
      <c r="C1324" t="s">
        <v>34</v>
      </c>
      <c r="D1324">
        <v>247800</v>
      </c>
      <c r="E1324" t="s">
        <v>4</v>
      </c>
    </row>
    <row r="1325" spans="1:5" x14ac:dyDescent="0.35">
      <c r="A1325" t="s">
        <v>1426</v>
      </c>
      <c r="B1325" t="s">
        <v>1542</v>
      </c>
      <c r="C1325" t="s">
        <v>18</v>
      </c>
      <c r="D1325">
        <v>72200</v>
      </c>
      <c r="E1325" t="s">
        <v>4</v>
      </c>
    </row>
    <row r="1326" spans="1:5" x14ac:dyDescent="0.35">
      <c r="A1326" t="s">
        <v>1427</v>
      </c>
      <c r="B1326" t="s">
        <v>1542</v>
      </c>
      <c r="C1326" t="s">
        <v>18</v>
      </c>
      <c r="D1326">
        <v>64600</v>
      </c>
      <c r="E1326" t="s">
        <v>4</v>
      </c>
    </row>
    <row r="1327" spans="1:5" x14ac:dyDescent="0.35">
      <c r="A1327" t="s">
        <v>1428</v>
      </c>
      <c r="B1327" t="s">
        <v>1558</v>
      </c>
      <c r="C1327" t="s">
        <v>34</v>
      </c>
      <c r="D1327">
        <v>242000</v>
      </c>
      <c r="E1327" t="s">
        <v>4</v>
      </c>
    </row>
    <row r="1328" spans="1:5" x14ac:dyDescent="0.35">
      <c r="A1328" t="s">
        <v>1429</v>
      </c>
      <c r="B1328" t="s">
        <v>1557</v>
      </c>
      <c r="C1328" t="s">
        <v>33</v>
      </c>
      <c r="D1328">
        <v>36100</v>
      </c>
      <c r="E1328" t="s">
        <v>4</v>
      </c>
    </row>
    <row r="1329" spans="1:5" x14ac:dyDescent="0.35">
      <c r="A1329" t="s">
        <v>1430</v>
      </c>
      <c r="B1329" t="s">
        <v>1542</v>
      </c>
      <c r="C1329" t="s">
        <v>18</v>
      </c>
      <c r="D1329">
        <v>61300</v>
      </c>
      <c r="E1329" t="s">
        <v>4</v>
      </c>
    </row>
    <row r="1330" spans="1:5" x14ac:dyDescent="0.35">
      <c r="A1330" t="s">
        <v>1431</v>
      </c>
      <c r="B1330" t="s">
        <v>1542</v>
      </c>
      <c r="C1330" t="s">
        <v>18</v>
      </c>
      <c r="D1330">
        <v>46200</v>
      </c>
      <c r="E1330" t="s">
        <v>4</v>
      </c>
    </row>
    <row r="1331" spans="1:5" x14ac:dyDescent="0.35">
      <c r="A1331" t="s">
        <v>1432</v>
      </c>
      <c r="B1331" t="s">
        <v>1599</v>
      </c>
      <c r="C1331" t="s">
        <v>75</v>
      </c>
      <c r="D1331">
        <v>11700</v>
      </c>
      <c r="E1331" t="s">
        <v>4</v>
      </c>
    </row>
    <row r="1332" spans="1:5" x14ac:dyDescent="0.35">
      <c r="A1332" t="s">
        <v>1433</v>
      </c>
      <c r="B1332" t="s">
        <v>1603</v>
      </c>
      <c r="C1332" t="s">
        <v>79</v>
      </c>
      <c r="D1332">
        <v>6000</v>
      </c>
      <c r="E1332" t="s">
        <v>4</v>
      </c>
    </row>
    <row r="1333" spans="1:5" x14ac:dyDescent="0.35">
      <c r="A1333" t="s">
        <v>1434</v>
      </c>
      <c r="B1333" t="s">
        <v>1543</v>
      </c>
      <c r="C1333" t="s">
        <v>19</v>
      </c>
      <c r="D1333">
        <v>11700</v>
      </c>
      <c r="E1333" t="s">
        <v>4</v>
      </c>
    </row>
    <row r="1334" spans="1:5" x14ac:dyDescent="0.35">
      <c r="A1334" t="s">
        <v>1435</v>
      </c>
      <c r="B1334" t="s">
        <v>1554</v>
      </c>
      <c r="C1334" t="s">
        <v>30</v>
      </c>
      <c r="D1334">
        <v>25500</v>
      </c>
      <c r="E1334" t="s">
        <v>4</v>
      </c>
    </row>
    <row r="1335" spans="1:5" x14ac:dyDescent="0.35">
      <c r="A1335" t="s">
        <v>1436</v>
      </c>
      <c r="B1335" t="s">
        <v>1540</v>
      </c>
      <c r="C1335" t="s">
        <v>16</v>
      </c>
      <c r="D1335">
        <v>6200</v>
      </c>
      <c r="E1335" t="s">
        <v>4</v>
      </c>
    </row>
    <row r="1336" spans="1:5" x14ac:dyDescent="0.35">
      <c r="A1336" t="s">
        <v>1437</v>
      </c>
      <c r="B1336" t="s">
        <v>1540</v>
      </c>
      <c r="C1336" t="s">
        <v>16</v>
      </c>
      <c r="D1336">
        <v>5100</v>
      </c>
      <c r="E1336" t="s">
        <v>4</v>
      </c>
    </row>
    <row r="1337" spans="1:5" x14ac:dyDescent="0.35">
      <c r="A1337" t="s">
        <v>1438</v>
      </c>
      <c r="B1337" t="s">
        <v>1540</v>
      </c>
      <c r="C1337" t="s">
        <v>16</v>
      </c>
      <c r="D1337">
        <v>2500</v>
      </c>
      <c r="E1337" t="s">
        <v>4</v>
      </c>
    </row>
    <row r="1338" spans="1:5" x14ac:dyDescent="0.35">
      <c r="A1338" t="s">
        <v>1439</v>
      </c>
      <c r="B1338" t="s">
        <v>1603</v>
      </c>
      <c r="C1338" t="s">
        <v>79</v>
      </c>
      <c r="D1338">
        <v>4200</v>
      </c>
      <c r="E1338" t="s">
        <v>4</v>
      </c>
    </row>
    <row r="1339" spans="1:5" x14ac:dyDescent="0.35">
      <c r="A1339" t="s">
        <v>1440</v>
      </c>
      <c r="B1339" t="s">
        <v>1556</v>
      </c>
      <c r="C1339" t="s">
        <v>32</v>
      </c>
      <c r="D1339">
        <v>2200</v>
      </c>
      <c r="E1339" t="s">
        <v>4</v>
      </c>
    </row>
    <row r="1340" spans="1:5" x14ac:dyDescent="0.35">
      <c r="A1340" t="s">
        <v>1441</v>
      </c>
      <c r="B1340" t="s">
        <v>1538</v>
      </c>
      <c r="C1340" t="s">
        <v>14</v>
      </c>
      <c r="D1340">
        <v>9800</v>
      </c>
      <c r="E1340" t="s">
        <v>4</v>
      </c>
    </row>
    <row r="1341" spans="1:5" x14ac:dyDescent="0.35">
      <c r="A1341" t="s">
        <v>1442</v>
      </c>
      <c r="B1341" t="s">
        <v>1556</v>
      </c>
      <c r="C1341" t="s">
        <v>32</v>
      </c>
      <c r="D1341">
        <v>95400</v>
      </c>
      <c r="E1341" t="s">
        <v>4</v>
      </c>
    </row>
    <row r="1342" spans="1:5" x14ac:dyDescent="0.35">
      <c r="A1342" t="s">
        <v>1443</v>
      </c>
      <c r="B1342" t="s">
        <v>1550</v>
      </c>
      <c r="C1342" t="s">
        <v>26</v>
      </c>
      <c r="D1342">
        <v>62300</v>
      </c>
      <c r="E1342" t="s">
        <v>4</v>
      </c>
    </row>
    <row r="1343" spans="1:5" x14ac:dyDescent="0.35">
      <c r="A1343" t="s">
        <v>1444</v>
      </c>
      <c r="B1343" t="s">
        <v>1550</v>
      </c>
      <c r="C1343" t="s">
        <v>26</v>
      </c>
      <c r="D1343">
        <v>66500</v>
      </c>
      <c r="E1343" t="s">
        <v>4</v>
      </c>
    </row>
    <row r="1344" spans="1:5" x14ac:dyDescent="0.35">
      <c r="A1344" t="s">
        <v>1445</v>
      </c>
      <c r="B1344" t="s">
        <v>1550</v>
      </c>
      <c r="C1344" t="s">
        <v>26</v>
      </c>
      <c r="D1344">
        <v>53300</v>
      </c>
      <c r="E1344" t="s">
        <v>4</v>
      </c>
    </row>
    <row r="1345" spans="1:5" x14ac:dyDescent="0.35">
      <c r="A1345" t="s">
        <v>1446</v>
      </c>
      <c r="B1345" t="s">
        <v>1550</v>
      </c>
      <c r="C1345" t="s">
        <v>26</v>
      </c>
      <c r="D1345">
        <v>73700</v>
      </c>
      <c r="E1345" t="s">
        <v>4</v>
      </c>
    </row>
    <row r="1346" spans="1:5" x14ac:dyDescent="0.35">
      <c r="A1346" t="s">
        <v>1447</v>
      </c>
      <c r="B1346" t="s">
        <v>1557</v>
      </c>
      <c r="C1346" t="s">
        <v>33</v>
      </c>
      <c r="D1346">
        <v>64200</v>
      </c>
      <c r="E1346" t="s">
        <v>4</v>
      </c>
    </row>
    <row r="1347" spans="1:5" x14ac:dyDescent="0.35">
      <c r="A1347" t="s">
        <v>1448</v>
      </c>
      <c r="B1347" t="s">
        <v>1542</v>
      </c>
      <c r="C1347" t="s">
        <v>18</v>
      </c>
      <c r="D1347">
        <v>57300</v>
      </c>
      <c r="E1347" t="s">
        <v>4</v>
      </c>
    </row>
    <row r="1348" spans="1:5" x14ac:dyDescent="0.35">
      <c r="A1348" t="s">
        <v>1449</v>
      </c>
      <c r="B1348" t="s">
        <v>1540</v>
      </c>
      <c r="C1348" t="s">
        <v>16</v>
      </c>
      <c r="D1348">
        <v>58700</v>
      </c>
      <c r="E1348" t="s">
        <v>4</v>
      </c>
    </row>
    <row r="1349" spans="1:5" x14ac:dyDescent="0.35">
      <c r="A1349" t="s">
        <v>1450</v>
      </c>
      <c r="B1349" t="s">
        <v>1540</v>
      </c>
      <c r="C1349" t="s">
        <v>16</v>
      </c>
      <c r="D1349">
        <v>45300</v>
      </c>
      <c r="E1349" t="s">
        <v>4</v>
      </c>
    </row>
    <row r="1350" spans="1:5" x14ac:dyDescent="0.35">
      <c r="A1350" t="s">
        <v>1451</v>
      </c>
      <c r="B1350" t="s">
        <v>1540</v>
      </c>
      <c r="C1350" t="s">
        <v>16</v>
      </c>
      <c r="D1350">
        <v>50200</v>
      </c>
      <c r="E1350" t="s">
        <v>4</v>
      </c>
    </row>
    <row r="1351" spans="1:5" x14ac:dyDescent="0.35">
      <c r="A1351" t="s">
        <v>1452</v>
      </c>
      <c r="B1351" t="s">
        <v>1568</v>
      </c>
      <c r="C1351" t="s">
        <v>44</v>
      </c>
      <c r="D1351">
        <v>132200</v>
      </c>
      <c r="E1351" t="s">
        <v>4</v>
      </c>
    </row>
    <row r="1352" spans="1:5" x14ac:dyDescent="0.35">
      <c r="A1352" t="s">
        <v>1453</v>
      </c>
      <c r="B1352" t="s">
        <v>1538</v>
      </c>
      <c r="C1352" t="s">
        <v>14</v>
      </c>
      <c r="D1352">
        <v>43600</v>
      </c>
      <c r="E1352" t="s">
        <v>4</v>
      </c>
    </row>
    <row r="1353" spans="1:5" x14ac:dyDescent="0.35">
      <c r="A1353" t="s">
        <v>1454</v>
      </c>
      <c r="B1353" t="s">
        <v>1538</v>
      </c>
      <c r="C1353" t="s">
        <v>14</v>
      </c>
      <c r="D1353">
        <v>59700</v>
      </c>
      <c r="E1353" t="s">
        <v>4</v>
      </c>
    </row>
    <row r="1354" spans="1:5" x14ac:dyDescent="0.35">
      <c r="A1354" t="s">
        <v>1455</v>
      </c>
      <c r="B1354" t="s">
        <v>1614</v>
      </c>
      <c r="C1354" t="s">
        <v>90</v>
      </c>
      <c r="D1354">
        <v>108400</v>
      </c>
      <c r="E1354" t="s">
        <v>4</v>
      </c>
    </row>
    <row r="1355" spans="1:5" x14ac:dyDescent="0.35">
      <c r="A1355" t="s">
        <v>1456</v>
      </c>
      <c r="B1355" t="s">
        <v>1542</v>
      </c>
      <c r="C1355" t="s">
        <v>18</v>
      </c>
      <c r="D1355">
        <v>500500</v>
      </c>
      <c r="E1355" t="s">
        <v>4</v>
      </c>
    </row>
    <row r="1356" spans="1:5" x14ac:dyDescent="0.35">
      <c r="A1356" t="s">
        <v>1457</v>
      </c>
      <c r="B1356" t="s">
        <v>1550</v>
      </c>
      <c r="C1356" t="s">
        <v>26</v>
      </c>
      <c r="D1356">
        <v>58900</v>
      </c>
      <c r="E1356" t="s">
        <v>4</v>
      </c>
    </row>
    <row r="1357" spans="1:5" x14ac:dyDescent="0.35">
      <c r="A1357" t="s">
        <v>1458</v>
      </c>
      <c r="B1357" t="s">
        <v>1550</v>
      </c>
      <c r="C1357" t="s">
        <v>26</v>
      </c>
      <c r="D1357">
        <v>62000</v>
      </c>
      <c r="E1357" t="s">
        <v>4</v>
      </c>
    </row>
    <row r="1358" spans="1:5" x14ac:dyDescent="0.35">
      <c r="A1358" t="s">
        <v>1459</v>
      </c>
      <c r="B1358" t="s">
        <v>1550</v>
      </c>
      <c r="C1358" t="s">
        <v>26</v>
      </c>
      <c r="D1358">
        <v>66600</v>
      </c>
      <c r="E1358" t="s">
        <v>4</v>
      </c>
    </row>
    <row r="1359" spans="1:5" x14ac:dyDescent="0.35">
      <c r="A1359" t="s">
        <v>1460</v>
      </c>
      <c r="B1359" t="s">
        <v>1550</v>
      </c>
      <c r="C1359" t="s">
        <v>26</v>
      </c>
      <c r="D1359">
        <v>65000</v>
      </c>
      <c r="E1359" t="s">
        <v>4</v>
      </c>
    </row>
    <row r="1360" spans="1:5" x14ac:dyDescent="0.35">
      <c r="A1360" t="s">
        <v>1461</v>
      </c>
      <c r="B1360" t="s">
        <v>1558</v>
      </c>
      <c r="C1360" t="s">
        <v>34</v>
      </c>
      <c r="D1360">
        <v>63700</v>
      </c>
      <c r="E1360" t="s">
        <v>4</v>
      </c>
    </row>
    <row r="1361" spans="1:5" x14ac:dyDescent="0.35">
      <c r="A1361" t="s">
        <v>1462</v>
      </c>
      <c r="B1361" t="s">
        <v>1576</v>
      </c>
      <c r="C1361" t="s">
        <v>52</v>
      </c>
      <c r="D1361">
        <v>86100</v>
      </c>
      <c r="E1361" t="s">
        <v>4</v>
      </c>
    </row>
    <row r="1362" spans="1:5" x14ac:dyDescent="0.35">
      <c r="A1362" t="s">
        <v>1463</v>
      </c>
      <c r="B1362" t="s">
        <v>1594</v>
      </c>
      <c r="C1362" t="s">
        <v>70</v>
      </c>
      <c r="D1362">
        <v>42200</v>
      </c>
      <c r="E1362" t="s">
        <v>4</v>
      </c>
    </row>
    <row r="1363" spans="1:5" x14ac:dyDescent="0.35">
      <c r="A1363" t="s">
        <v>1464</v>
      </c>
      <c r="B1363" t="s">
        <v>1551</v>
      </c>
      <c r="C1363" t="s">
        <v>27</v>
      </c>
      <c r="D1363">
        <v>70800</v>
      </c>
      <c r="E1363" t="s">
        <v>4</v>
      </c>
    </row>
    <row r="1364" spans="1:5" x14ac:dyDescent="0.35">
      <c r="A1364" t="s">
        <v>1465</v>
      </c>
      <c r="B1364" t="s">
        <v>1544</v>
      </c>
      <c r="C1364" t="s">
        <v>20</v>
      </c>
      <c r="D1364">
        <v>151400</v>
      </c>
      <c r="E1364" t="s">
        <v>4</v>
      </c>
    </row>
    <row r="1365" spans="1:5" x14ac:dyDescent="0.35">
      <c r="A1365" t="s">
        <v>1466</v>
      </c>
      <c r="B1365" t="s">
        <v>1557</v>
      </c>
      <c r="C1365" t="s">
        <v>33</v>
      </c>
      <c r="D1365">
        <v>124400</v>
      </c>
      <c r="E1365" t="s">
        <v>4</v>
      </c>
    </row>
    <row r="1366" spans="1:5" x14ac:dyDescent="0.35">
      <c r="A1366" t="s">
        <v>1467</v>
      </c>
      <c r="B1366" t="s">
        <v>1538</v>
      </c>
      <c r="C1366" t="s">
        <v>14</v>
      </c>
      <c r="D1366">
        <v>59700</v>
      </c>
      <c r="E1366" t="s">
        <v>4</v>
      </c>
    </row>
    <row r="1367" spans="1:5" x14ac:dyDescent="0.35">
      <c r="A1367" t="s">
        <v>1468</v>
      </c>
      <c r="B1367" t="s">
        <v>1548</v>
      </c>
      <c r="C1367" t="s">
        <v>24</v>
      </c>
      <c r="D1367">
        <v>127700</v>
      </c>
      <c r="E1367" t="s">
        <v>4</v>
      </c>
    </row>
    <row r="1368" spans="1:5" x14ac:dyDescent="0.35">
      <c r="A1368" t="s">
        <v>1469</v>
      </c>
      <c r="B1368" t="s">
        <v>1542</v>
      </c>
      <c r="C1368" t="s">
        <v>18</v>
      </c>
      <c r="D1368">
        <v>159800</v>
      </c>
      <c r="E1368" t="s">
        <v>4</v>
      </c>
    </row>
    <row r="1369" spans="1:5" x14ac:dyDescent="0.35">
      <c r="A1369" t="s">
        <v>1470</v>
      </c>
      <c r="B1369" t="s">
        <v>1553</v>
      </c>
      <c r="C1369" t="s">
        <v>29</v>
      </c>
      <c r="D1369">
        <v>140300</v>
      </c>
      <c r="E1369" t="s">
        <v>4</v>
      </c>
    </row>
    <row r="1370" spans="1:5" x14ac:dyDescent="0.35">
      <c r="A1370" t="s">
        <v>1471</v>
      </c>
      <c r="B1370" t="s">
        <v>1613</v>
      </c>
      <c r="C1370" t="s">
        <v>89</v>
      </c>
      <c r="D1370">
        <v>269400</v>
      </c>
      <c r="E1370" t="s">
        <v>4</v>
      </c>
    </row>
    <row r="1371" spans="1:5" x14ac:dyDescent="0.35">
      <c r="A1371" t="s">
        <v>1472</v>
      </c>
      <c r="B1371" t="s">
        <v>1538</v>
      </c>
      <c r="C1371" t="s">
        <v>14</v>
      </c>
      <c r="D1371">
        <v>37200</v>
      </c>
      <c r="E1371" t="s">
        <v>4</v>
      </c>
    </row>
    <row r="1372" spans="1:5" x14ac:dyDescent="0.35">
      <c r="A1372" t="s">
        <v>1473</v>
      </c>
      <c r="B1372" t="s">
        <v>1538</v>
      </c>
      <c r="C1372" t="s">
        <v>14</v>
      </c>
      <c r="D1372">
        <v>46000</v>
      </c>
      <c r="E1372" t="s">
        <v>4</v>
      </c>
    </row>
    <row r="1373" spans="1:5" x14ac:dyDescent="0.35">
      <c r="A1373" t="s">
        <v>1474</v>
      </c>
      <c r="B1373" t="s">
        <v>1543</v>
      </c>
      <c r="C1373" t="s">
        <v>19</v>
      </c>
      <c r="D1373">
        <v>164600</v>
      </c>
      <c r="E1373" t="s">
        <v>4</v>
      </c>
    </row>
    <row r="1374" spans="1:5" x14ac:dyDescent="0.35">
      <c r="A1374" t="s">
        <v>1475</v>
      </c>
      <c r="B1374" t="s">
        <v>1543</v>
      </c>
      <c r="C1374" t="s">
        <v>19</v>
      </c>
      <c r="D1374">
        <v>153600</v>
      </c>
      <c r="E1374" t="s">
        <v>4</v>
      </c>
    </row>
    <row r="1375" spans="1:5" x14ac:dyDescent="0.35">
      <c r="A1375" t="s">
        <v>1476</v>
      </c>
      <c r="B1375" t="s">
        <v>1556</v>
      </c>
      <c r="C1375" t="s">
        <v>32</v>
      </c>
      <c r="D1375">
        <v>55400</v>
      </c>
      <c r="E1375" t="s">
        <v>4</v>
      </c>
    </row>
    <row r="1376" spans="1:5" x14ac:dyDescent="0.35">
      <c r="A1376" t="s">
        <v>1477</v>
      </c>
      <c r="B1376" t="s">
        <v>1556</v>
      </c>
      <c r="C1376" t="s">
        <v>32</v>
      </c>
      <c r="D1376">
        <v>51600</v>
      </c>
      <c r="E1376" t="s">
        <v>4</v>
      </c>
    </row>
    <row r="1377" spans="1:5" x14ac:dyDescent="0.35">
      <c r="A1377" t="s">
        <v>1478</v>
      </c>
      <c r="B1377" t="s">
        <v>1542</v>
      </c>
      <c r="C1377" t="s">
        <v>18</v>
      </c>
      <c r="D1377">
        <v>92000</v>
      </c>
      <c r="E1377" t="s">
        <v>4</v>
      </c>
    </row>
    <row r="1378" spans="1:5" x14ac:dyDescent="0.35">
      <c r="A1378" t="s">
        <v>1479</v>
      </c>
      <c r="B1378" t="s">
        <v>1558</v>
      </c>
      <c r="C1378" t="s">
        <v>34</v>
      </c>
      <c r="D1378">
        <v>55900</v>
      </c>
      <c r="E1378" t="s">
        <v>4</v>
      </c>
    </row>
    <row r="1379" spans="1:5" x14ac:dyDescent="0.35">
      <c r="A1379" t="s">
        <v>1480</v>
      </c>
      <c r="B1379" t="s">
        <v>1558</v>
      </c>
      <c r="C1379" t="s">
        <v>34</v>
      </c>
      <c r="D1379">
        <v>49700</v>
      </c>
      <c r="E1379" t="s">
        <v>4</v>
      </c>
    </row>
    <row r="1380" spans="1:5" x14ac:dyDescent="0.35">
      <c r="A1380" t="s">
        <v>1481</v>
      </c>
      <c r="B1380" t="s">
        <v>1540</v>
      </c>
      <c r="C1380" t="s">
        <v>16</v>
      </c>
      <c r="D1380">
        <v>46900</v>
      </c>
      <c r="E1380" t="s">
        <v>4</v>
      </c>
    </row>
    <row r="1381" spans="1:5" x14ac:dyDescent="0.35">
      <c r="A1381" t="s">
        <v>1482</v>
      </c>
      <c r="B1381" t="s">
        <v>1534</v>
      </c>
      <c r="C1381" t="s">
        <v>10</v>
      </c>
      <c r="D1381">
        <v>53100</v>
      </c>
      <c r="E1381" t="s">
        <v>4</v>
      </c>
    </row>
    <row r="1382" spans="1:5" x14ac:dyDescent="0.35">
      <c r="A1382" t="s">
        <v>1483</v>
      </c>
      <c r="B1382" t="s">
        <v>1534</v>
      </c>
      <c r="C1382" t="s">
        <v>10</v>
      </c>
      <c r="D1382">
        <v>54600</v>
      </c>
      <c r="E1382" t="s">
        <v>4</v>
      </c>
    </row>
    <row r="1383" spans="1:5" x14ac:dyDescent="0.35">
      <c r="A1383" t="s">
        <v>1484</v>
      </c>
      <c r="B1383" t="s">
        <v>1534</v>
      </c>
      <c r="C1383" t="s">
        <v>10</v>
      </c>
      <c r="D1383">
        <v>71400</v>
      </c>
      <c r="E1383" t="s">
        <v>4</v>
      </c>
    </row>
    <row r="1384" spans="1:5" x14ac:dyDescent="0.35">
      <c r="A1384" t="s">
        <v>1485</v>
      </c>
      <c r="B1384" t="s">
        <v>1539</v>
      </c>
      <c r="C1384" t="s">
        <v>15</v>
      </c>
      <c r="D1384">
        <v>40800</v>
      </c>
      <c r="E1384" t="s">
        <v>4</v>
      </c>
    </row>
    <row r="1385" spans="1:5" x14ac:dyDescent="0.35">
      <c r="A1385" t="s">
        <v>1486</v>
      </c>
      <c r="B1385" t="s">
        <v>1539</v>
      </c>
      <c r="C1385" t="s">
        <v>15</v>
      </c>
      <c r="D1385">
        <v>45400</v>
      </c>
      <c r="E1385" t="s">
        <v>4</v>
      </c>
    </row>
    <row r="1386" spans="1:5" x14ac:dyDescent="0.35">
      <c r="A1386" t="s">
        <v>1487</v>
      </c>
      <c r="B1386" t="s">
        <v>1538</v>
      </c>
      <c r="C1386" t="s">
        <v>14</v>
      </c>
      <c r="D1386">
        <v>47600</v>
      </c>
      <c r="E1386" t="s">
        <v>4</v>
      </c>
    </row>
    <row r="1387" spans="1:5" x14ac:dyDescent="0.35">
      <c r="A1387" t="s">
        <v>1488</v>
      </c>
      <c r="B1387" t="s">
        <v>1538</v>
      </c>
      <c r="C1387" t="s">
        <v>14</v>
      </c>
      <c r="D1387">
        <v>183400</v>
      </c>
      <c r="E1387" t="s">
        <v>4</v>
      </c>
    </row>
    <row r="1388" spans="1:5" x14ac:dyDescent="0.35">
      <c r="A1388" t="s">
        <v>1489</v>
      </c>
      <c r="B1388" t="s">
        <v>1538</v>
      </c>
      <c r="C1388" t="s">
        <v>14</v>
      </c>
      <c r="D1388">
        <v>155100</v>
      </c>
      <c r="E1388" t="s">
        <v>4</v>
      </c>
    </row>
    <row r="1389" spans="1:5" x14ac:dyDescent="0.35">
      <c r="A1389" t="s">
        <v>1490</v>
      </c>
      <c r="B1389" t="s">
        <v>1558</v>
      </c>
      <c r="C1389" t="s">
        <v>34</v>
      </c>
      <c r="D1389">
        <v>46700</v>
      </c>
      <c r="E1389" t="s">
        <v>4</v>
      </c>
    </row>
    <row r="1390" spans="1:5" x14ac:dyDescent="0.35">
      <c r="A1390" t="s">
        <v>1491</v>
      </c>
      <c r="B1390" t="s">
        <v>1543</v>
      </c>
      <c r="C1390" t="s">
        <v>19</v>
      </c>
      <c r="D1390">
        <v>91800</v>
      </c>
      <c r="E1390" t="s">
        <v>4</v>
      </c>
    </row>
    <row r="1391" spans="1:5" x14ac:dyDescent="0.35">
      <c r="A1391" t="s">
        <v>1492</v>
      </c>
      <c r="B1391" t="s">
        <v>1544</v>
      </c>
      <c r="C1391" t="s">
        <v>20</v>
      </c>
      <c r="D1391">
        <v>150000</v>
      </c>
      <c r="E1391" t="s">
        <v>4</v>
      </c>
    </row>
    <row r="1392" spans="1:5" x14ac:dyDescent="0.35">
      <c r="A1392" t="s">
        <v>1493</v>
      </c>
      <c r="B1392" t="s">
        <v>1626</v>
      </c>
      <c r="C1392" t="s">
        <v>102</v>
      </c>
      <c r="D1392">
        <v>264100</v>
      </c>
      <c r="E1392" t="s">
        <v>4</v>
      </c>
    </row>
    <row r="1393" spans="1:5" x14ac:dyDescent="0.35">
      <c r="A1393" t="s">
        <v>1494</v>
      </c>
      <c r="B1393" t="s">
        <v>1558</v>
      </c>
      <c r="C1393" t="s">
        <v>34</v>
      </c>
      <c r="D1393">
        <v>53600</v>
      </c>
      <c r="E1393" t="s">
        <v>4</v>
      </c>
    </row>
    <row r="1394" spans="1:5" x14ac:dyDescent="0.35">
      <c r="A1394" t="s">
        <v>1495</v>
      </c>
      <c r="B1394" t="s">
        <v>1551</v>
      </c>
      <c r="C1394" t="s">
        <v>27</v>
      </c>
      <c r="D1394">
        <v>32700</v>
      </c>
      <c r="E1394" t="s">
        <v>4</v>
      </c>
    </row>
    <row r="1395" spans="1:5" x14ac:dyDescent="0.35">
      <c r="A1395" t="s">
        <v>1496</v>
      </c>
      <c r="B1395" t="s">
        <v>1551</v>
      </c>
      <c r="C1395" t="s">
        <v>27</v>
      </c>
      <c r="D1395">
        <v>54200</v>
      </c>
      <c r="E1395" t="s">
        <v>4</v>
      </c>
    </row>
    <row r="1396" spans="1:5" x14ac:dyDescent="0.35">
      <c r="A1396" t="s">
        <v>1497</v>
      </c>
      <c r="B1396" t="s">
        <v>1546</v>
      </c>
      <c r="C1396" t="s">
        <v>22</v>
      </c>
      <c r="D1396">
        <v>185400</v>
      </c>
      <c r="E1396" t="s">
        <v>4</v>
      </c>
    </row>
    <row r="1397" spans="1:5" x14ac:dyDescent="0.35">
      <c r="A1397" t="s">
        <v>1498</v>
      </c>
      <c r="B1397" t="s">
        <v>1543</v>
      </c>
      <c r="C1397" t="s">
        <v>19</v>
      </c>
      <c r="D1397">
        <v>97600</v>
      </c>
      <c r="E1397" t="s">
        <v>4</v>
      </c>
    </row>
    <row r="1398" spans="1:5" x14ac:dyDescent="0.35">
      <c r="A1398" t="s">
        <v>1499</v>
      </c>
      <c r="B1398" t="s">
        <v>1543</v>
      </c>
      <c r="C1398" t="s">
        <v>19</v>
      </c>
      <c r="D1398">
        <v>26600</v>
      </c>
      <c r="E1398" t="s">
        <v>4</v>
      </c>
    </row>
    <row r="1399" spans="1:5" x14ac:dyDescent="0.35">
      <c r="A1399" t="s">
        <v>1500</v>
      </c>
      <c r="B1399" t="s">
        <v>1543</v>
      </c>
      <c r="C1399" t="s">
        <v>19</v>
      </c>
      <c r="D1399">
        <v>46500</v>
      </c>
      <c r="E1399" t="s">
        <v>4</v>
      </c>
    </row>
    <row r="1400" spans="1:5" x14ac:dyDescent="0.35">
      <c r="A1400" t="s">
        <v>1501</v>
      </c>
      <c r="B1400" t="s">
        <v>1543</v>
      </c>
      <c r="C1400" t="s">
        <v>19</v>
      </c>
      <c r="D1400">
        <v>141800</v>
      </c>
      <c r="E1400" t="s">
        <v>4</v>
      </c>
    </row>
    <row r="1401" spans="1:5" x14ac:dyDescent="0.35">
      <c r="A1401" t="s">
        <v>1502</v>
      </c>
      <c r="B1401" t="s">
        <v>1543</v>
      </c>
      <c r="C1401" t="s">
        <v>19</v>
      </c>
      <c r="D1401">
        <v>141100</v>
      </c>
      <c r="E1401" t="s">
        <v>4</v>
      </c>
    </row>
    <row r="1402" spans="1:5" x14ac:dyDescent="0.35">
      <c r="A1402" t="s">
        <v>1503</v>
      </c>
      <c r="B1402" t="s">
        <v>1542</v>
      </c>
      <c r="C1402" t="s">
        <v>18</v>
      </c>
      <c r="D1402">
        <v>148800</v>
      </c>
      <c r="E1402" t="s">
        <v>4</v>
      </c>
    </row>
    <row r="1403" spans="1:5" x14ac:dyDescent="0.35">
      <c r="A1403" t="s">
        <v>1504</v>
      </c>
      <c r="B1403" t="s">
        <v>1548</v>
      </c>
      <c r="C1403" t="s">
        <v>24</v>
      </c>
      <c r="D1403">
        <v>180800</v>
      </c>
      <c r="E1403" t="s">
        <v>4</v>
      </c>
    </row>
    <row r="1404" spans="1:5" x14ac:dyDescent="0.35">
      <c r="A1404" t="s">
        <v>1505</v>
      </c>
      <c r="B1404" t="s">
        <v>1542</v>
      </c>
      <c r="C1404" t="s">
        <v>18</v>
      </c>
      <c r="D1404">
        <v>56300</v>
      </c>
      <c r="E1404" t="s">
        <v>4</v>
      </c>
    </row>
    <row r="1405" spans="1:5" x14ac:dyDescent="0.35">
      <c r="A1405" t="s">
        <v>1506</v>
      </c>
      <c r="B1405" t="s">
        <v>1542</v>
      </c>
      <c r="C1405" t="s">
        <v>18</v>
      </c>
      <c r="D1405">
        <v>57800</v>
      </c>
      <c r="E1405" t="s">
        <v>4</v>
      </c>
    </row>
    <row r="1406" spans="1:5" x14ac:dyDescent="0.35">
      <c r="A1406" t="s">
        <v>1507</v>
      </c>
      <c r="B1406" t="s">
        <v>1576</v>
      </c>
      <c r="C1406" t="s">
        <v>52</v>
      </c>
      <c r="D1406">
        <v>293000</v>
      </c>
      <c r="E1406" t="s">
        <v>4</v>
      </c>
    </row>
    <row r="1407" spans="1:5" x14ac:dyDescent="0.35">
      <c r="A1407" t="s">
        <v>1508</v>
      </c>
      <c r="B1407" t="s">
        <v>1556</v>
      </c>
      <c r="C1407" t="s">
        <v>32</v>
      </c>
      <c r="D1407">
        <v>198000</v>
      </c>
      <c r="E1407" t="s">
        <v>4</v>
      </c>
    </row>
    <row r="1408" spans="1:5" x14ac:dyDescent="0.35">
      <c r="A1408" t="s">
        <v>1509</v>
      </c>
      <c r="B1408" t="s">
        <v>1538</v>
      </c>
      <c r="C1408" t="s">
        <v>14</v>
      </c>
      <c r="D1408">
        <v>29100</v>
      </c>
      <c r="E1408" t="s">
        <v>4</v>
      </c>
    </row>
    <row r="1409" spans="1:5" x14ac:dyDescent="0.35">
      <c r="A1409" t="s">
        <v>1510</v>
      </c>
      <c r="B1409" t="s">
        <v>1538</v>
      </c>
      <c r="C1409" t="s">
        <v>14</v>
      </c>
      <c r="D1409">
        <v>0</v>
      </c>
      <c r="E1409" t="s">
        <v>4</v>
      </c>
    </row>
    <row r="1410" spans="1:5" x14ac:dyDescent="0.35">
      <c r="A1410" t="s">
        <v>1511</v>
      </c>
      <c r="B1410" t="s">
        <v>1542</v>
      </c>
      <c r="C1410" t="s">
        <v>18</v>
      </c>
      <c r="D1410">
        <v>73300</v>
      </c>
      <c r="E1410" t="s">
        <v>4</v>
      </c>
    </row>
    <row r="1411" spans="1:5" x14ac:dyDescent="0.35">
      <c r="A1411" t="s">
        <v>1512</v>
      </c>
      <c r="B1411" t="s">
        <v>1540</v>
      </c>
      <c r="C1411" t="s">
        <v>16</v>
      </c>
      <c r="D1411">
        <v>43700</v>
      </c>
      <c r="E1411" t="s">
        <v>4</v>
      </c>
    </row>
    <row r="1412" spans="1:5" x14ac:dyDescent="0.35">
      <c r="A1412" t="s">
        <v>1513</v>
      </c>
      <c r="B1412" t="s">
        <v>1543</v>
      </c>
      <c r="C1412" t="s">
        <v>19</v>
      </c>
      <c r="D1412">
        <v>93600</v>
      </c>
      <c r="E1412" t="s">
        <v>4</v>
      </c>
    </row>
    <row r="1413" spans="1:5" x14ac:dyDescent="0.35">
      <c r="A1413" t="s">
        <v>1514</v>
      </c>
      <c r="B1413" t="s">
        <v>1538</v>
      </c>
      <c r="C1413" t="s">
        <v>14</v>
      </c>
      <c r="D1413">
        <v>48400</v>
      </c>
      <c r="E1413" t="s">
        <v>4</v>
      </c>
    </row>
    <row r="1414" spans="1:5" x14ac:dyDescent="0.35">
      <c r="A1414" t="s">
        <v>1515</v>
      </c>
      <c r="B1414" t="s">
        <v>1538</v>
      </c>
      <c r="C1414" t="s">
        <v>14</v>
      </c>
      <c r="D1414">
        <v>165800</v>
      </c>
      <c r="E1414" t="s">
        <v>4</v>
      </c>
    </row>
    <row r="1415" spans="1:5" x14ac:dyDescent="0.35">
      <c r="A1415" t="s">
        <v>1516</v>
      </c>
      <c r="B1415" t="s">
        <v>1553</v>
      </c>
      <c r="C1415" t="s">
        <v>29</v>
      </c>
      <c r="D1415">
        <v>131300</v>
      </c>
      <c r="E1415" t="s">
        <v>4</v>
      </c>
    </row>
    <row r="1416" spans="1:5" x14ac:dyDescent="0.35">
      <c r="A1416" t="s">
        <v>1517</v>
      </c>
      <c r="B1416" t="s">
        <v>1558</v>
      </c>
      <c r="C1416" t="s">
        <v>34</v>
      </c>
      <c r="D1416">
        <v>226200</v>
      </c>
      <c r="E1416" t="s">
        <v>4</v>
      </c>
    </row>
    <row r="1417" spans="1:5" x14ac:dyDescent="0.35">
      <c r="A1417" t="s">
        <v>1518</v>
      </c>
      <c r="B1417" t="s">
        <v>1558</v>
      </c>
      <c r="C1417" t="s">
        <v>34</v>
      </c>
      <c r="D1417">
        <v>223300</v>
      </c>
      <c r="E1417" t="s">
        <v>4</v>
      </c>
    </row>
    <row r="1418" spans="1:5" x14ac:dyDescent="0.35">
      <c r="A1418" t="s">
        <v>1519</v>
      </c>
      <c r="B1418" t="s">
        <v>1540</v>
      </c>
      <c r="C1418" t="s">
        <v>16</v>
      </c>
      <c r="D1418">
        <v>239500</v>
      </c>
      <c r="E1418" t="s">
        <v>4</v>
      </c>
    </row>
    <row r="1419" spans="1:5" x14ac:dyDescent="0.35">
      <c r="A1419" t="s">
        <v>1520</v>
      </c>
      <c r="B1419" t="s">
        <v>1540</v>
      </c>
      <c r="C1419" t="s">
        <v>16</v>
      </c>
      <c r="D1419">
        <v>185400</v>
      </c>
      <c r="E1419" t="s">
        <v>4</v>
      </c>
    </row>
    <row r="1420" spans="1:5" x14ac:dyDescent="0.35">
      <c r="A1420" t="s">
        <v>1521</v>
      </c>
      <c r="B1420" t="s">
        <v>1555</v>
      </c>
      <c r="C1420" t="s">
        <v>31</v>
      </c>
      <c r="D1420">
        <v>16800</v>
      </c>
      <c r="E1420" t="s">
        <v>4</v>
      </c>
    </row>
    <row r="1421" spans="1:5" x14ac:dyDescent="0.35">
      <c r="A1421" t="s">
        <v>1522</v>
      </c>
      <c r="B1421" t="s">
        <v>1540</v>
      </c>
      <c r="C1421" t="s">
        <v>16</v>
      </c>
      <c r="D1421">
        <v>35800</v>
      </c>
      <c r="E1421" t="s">
        <v>4</v>
      </c>
    </row>
    <row r="1422" spans="1:5" x14ac:dyDescent="0.35">
      <c r="A1422" t="s">
        <v>1523</v>
      </c>
      <c r="B1422" t="s">
        <v>1540</v>
      </c>
      <c r="C1422" t="s">
        <v>16</v>
      </c>
      <c r="D1422">
        <v>5800</v>
      </c>
      <c r="E1422" t="s">
        <v>4</v>
      </c>
    </row>
    <row r="1423" spans="1:5" x14ac:dyDescent="0.35">
      <c r="A1423" t="s">
        <v>1524</v>
      </c>
      <c r="B1423" t="s">
        <v>1543</v>
      </c>
      <c r="C1423" t="s">
        <v>19</v>
      </c>
      <c r="D1423">
        <v>13400</v>
      </c>
      <c r="E1423" t="s">
        <v>4</v>
      </c>
    </row>
    <row r="1424" spans="1:5" x14ac:dyDescent="0.35">
      <c r="A1424" t="s">
        <v>1525</v>
      </c>
      <c r="B1424" t="s">
        <v>1558</v>
      </c>
      <c r="C1424" t="s">
        <v>34</v>
      </c>
      <c r="D1424">
        <v>1900</v>
      </c>
      <c r="E1424" t="s">
        <v>4</v>
      </c>
    </row>
    <row r="1425" spans="1:5" x14ac:dyDescent="0.35">
      <c r="A1425" t="s">
        <v>1526</v>
      </c>
      <c r="B1425" t="s">
        <v>1558</v>
      </c>
      <c r="C1425" t="s">
        <v>34</v>
      </c>
      <c r="D1425">
        <v>17700</v>
      </c>
      <c r="E1425" t="s">
        <v>4</v>
      </c>
    </row>
    <row r="1426" spans="1:5" x14ac:dyDescent="0.35">
      <c r="A1426" t="s">
        <v>1527</v>
      </c>
      <c r="B1426" t="s">
        <v>1542</v>
      </c>
      <c r="C1426" t="s">
        <v>18</v>
      </c>
      <c r="D1426">
        <v>2600</v>
      </c>
      <c r="E1426" t="s">
        <v>4</v>
      </c>
    </row>
    <row r="1427" spans="1:5" x14ac:dyDescent="0.35">
      <c r="A1427" t="s">
        <v>1528</v>
      </c>
      <c r="B1427" t="s">
        <v>1543</v>
      </c>
      <c r="C1427" t="s">
        <v>19</v>
      </c>
      <c r="D1427">
        <v>2600</v>
      </c>
      <c r="E1427" t="s">
        <v>4</v>
      </c>
    </row>
    <row r="1428" spans="1:5" x14ac:dyDescent="0.35">
      <c r="A1428" t="s">
        <v>1529</v>
      </c>
      <c r="B1428" t="s">
        <v>1563</v>
      </c>
      <c r="C1428" t="s">
        <v>39</v>
      </c>
      <c r="D1428">
        <v>12600</v>
      </c>
      <c r="E1428" t="s">
        <v>4</v>
      </c>
    </row>
    <row r="1429" spans="1:5" x14ac:dyDescent="0.35">
      <c r="A1429" t="s">
        <v>1530</v>
      </c>
      <c r="B1429" t="s">
        <v>1534</v>
      </c>
      <c r="C1429" t="s">
        <v>10</v>
      </c>
      <c r="D1429">
        <v>9300</v>
      </c>
      <c r="E1429" t="s">
        <v>4</v>
      </c>
    </row>
    <row r="1430" spans="1:5" x14ac:dyDescent="0.35">
      <c r="A1430" t="s">
        <v>1531</v>
      </c>
      <c r="B1430" t="s">
        <v>1534</v>
      </c>
      <c r="C1430" t="s">
        <v>10</v>
      </c>
      <c r="D1430">
        <v>14000</v>
      </c>
      <c r="E1430" t="s">
        <v>4</v>
      </c>
    </row>
    <row r="1431" spans="1:5" x14ac:dyDescent="0.35">
      <c r="A1431" t="s">
        <v>1532</v>
      </c>
      <c r="B1431" t="s">
        <v>1534</v>
      </c>
      <c r="C1431" t="s">
        <v>10</v>
      </c>
      <c r="D1431">
        <v>10100</v>
      </c>
      <c r="E1431" t="s">
        <v>4</v>
      </c>
    </row>
    <row r="1432" spans="1:5" x14ac:dyDescent="0.35">
      <c r="A1432" t="s">
        <v>1533</v>
      </c>
      <c r="B1432" t="s">
        <v>1556</v>
      </c>
      <c r="C1432" t="s">
        <v>32</v>
      </c>
      <c r="D1432">
        <v>14000</v>
      </c>
      <c r="E1432" t="s">
        <v>4</v>
      </c>
    </row>
  </sheetData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263ED8-1310-40CE-873E-3A820734BC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Chart Data</vt:lpstr>
      <vt:lpstr>Recovery Analysis</vt:lpstr>
      <vt:lpstr>Validation pivot</vt:lpstr>
      <vt:lpstr>Validation Tracker</vt:lpstr>
      <vt:lpstr>KPI</vt:lpstr>
      <vt:lpstr>Anonymized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Francis</dc:creator>
  <cp:lastModifiedBy>Jennifer Francis</cp:lastModifiedBy>
  <dcterms:created xsi:type="dcterms:W3CDTF">2026-09-18T21:31:10Z</dcterms:created>
  <dcterms:modified xsi:type="dcterms:W3CDTF">2026-10-21T21:58:52Z</dcterms:modified>
</cp:coreProperties>
</file>